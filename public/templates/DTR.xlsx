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930"/>
  </bookViews>
  <sheets>
    <sheet name="Aug 26-Sept 10" sheetId="79" r:id="rId1"/>
  </sheets>
  <definedNames>
    <definedName name="_xlnm.Print_Area" localSheetId="0">'Aug 26-Sept 10'!$A$1:$X$60</definedName>
    <definedName name="SCHED">#REF!</definedName>
  </definedNames>
  <calcPr calcId="191029"/>
</workbook>
</file>

<file path=xl/calcChain.xml><?xml version="1.0" encoding="utf-8"?>
<calcChain xmlns="http://schemas.openxmlformats.org/spreadsheetml/2006/main">
  <c r="W40" i="79" l="1"/>
  <c r="W43" i="79" s="1"/>
  <c r="W31" i="79"/>
  <c r="W32" i="79"/>
  <c r="W33" i="79"/>
  <c r="W34" i="79"/>
  <c r="W35" i="79"/>
  <c r="W36" i="79"/>
  <c r="W10" i="79"/>
  <c r="W27" i="79"/>
  <c r="W28" i="79"/>
  <c r="W29" i="79"/>
  <c r="W30" i="79"/>
  <c r="W11" i="79"/>
  <c r="W12" i="79"/>
  <c r="W13" i="79"/>
  <c r="W14" i="79"/>
  <c r="W15" i="79"/>
  <c r="W16" i="79"/>
  <c r="W17" i="79"/>
  <c r="W18" i="79"/>
  <c r="W19" i="79"/>
  <c r="W20" i="79"/>
  <c r="W21" i="79"/>
  <c r="W22" i="79"/>
  <c r="W23" i="79"/>
  <c r="W24" i="79"/>
  <c r="W25" i="79"/>
  <c r="W26" i="79"/>
  <c r="F37" i="79"/>
  <c r="E37" i="79"/>
  <c r="D37" i="79"/>
  <c r="C37" i="79"/>
  <c r="B37" i="79"/>
  <c r="W37" i="79" l="1"/>
</calcChain>
</file>

<file path=xl/sharedStrings.xml><?xml version="1.0" encoding="utf-8"?>
<sst xmlns="http://schemas.openxmlformats.org/spreadsheetml/2006/main" count="153" uniqueCount="95">
  <si>
    <t>PERIOD COVERED</t>
  </si>
  <si>
    <t>FACULTY NAME</t>
  </si>
  <si>
    <t>Total Hours</t>
  </si>
  <si>
    <t>Total</t>
  </si>
  <si>
    <t>Prepared by:</t>
  </si>
  <si>
    <t>Approved by:</t>
  </si>
  <si>
    <t>Engr. Girlie Malijan</t>
  </si>
  <si>
    <t>SUBJECT CODE</t>
  </si>
  <si>
    <t>ROOM</t>
  </si>
  <si>
    <t>DAY</t>
  </si>
  <si>
    <t>TIME</t>
  </si>
  <si>
    <t xml:space="preserve">SCHOOL YEAR     </t>
  </si>
  <si>
    <t>SEMESTER</t>
  </si>
  <si>
    <t>SECTION</t>
  </si>
  <si>
    <t>Total Teaching Hours</t>
  </si>
  <si>
    <t>Total Non-Teaching Hours</t>
  </si>
  <si>
    <t>NON-TEACHING ACTIVITIES</t>
  </si>
  <si>
    <t xml:space="preserve">TEACHING </t>
  </si>
  <si>
    <t>Schedule</t>
  </si>
  <si>
    <t>Checked by:</t>
  </si>
  <si>
    <t>Remarks:</t>
  </si>
  <si>
    <t>Late (total minutes)</t>
  </si>
  <si>
    <t>Undertime (total Hrs):</t>
  </si>
  <si>
    <t>FACULTY TIMESHEET</t>
  </si>
  <si>
    <t>Faculty Signature/Date</t>
  </si>
  <si>
    <t>Program Coordinator</t>
  </si>
  <si>
    <t xml:space="preserve">     College Dean/Principal</t>
  </si>
  <si>
    <t>3:00-6:00</t>
  </si>
  <si>
    <t>12:00-3:00</t>
  </si>
  <si>
    <t>8:00-11:00</t>
  </si>
  <si>
    <t>2023-2024</t>
  </si>
  <si>
    <t>1ST</t>
  </si>
  <si>
    <t>9:00-12:00</t>
  </si>
  <si>
    <t>MACRO PERSPECTIVE</t>
  </si>
  <si>
    <t>BSHM501A</t>
  </si>
  <si>
    <t>6:00-9:00</t>
  </si>
  <si>
    <t>REPORTING</t>
  </si>
  <si>
    <t>ARTIFICIAL INTELLIGENCE</t>
  </si>
  <si>
    <t>NETWORK 2 (LAB)</t>
  </si>
  <si>
    <t>DATA STRC (LEC)</t>
  </si>
  <si>
    <t>DATA STRC (LAB)</t>
  </si>
  <si>
    <t>NETWORK2 (LEC)</t>
  </si>
  <si>
    <t>ADV SYSTEM INT (LEC)</t>
  </si>
  <si>
    <t>ADV SYSTEM INT (LAB)</t>
  </si>
  <si>
    <t>INTRO TO COMP (LAB)</t>
  </si>
  <si>
    <t>INTRO TO COMP (LEC)</t>
  </si>
  <si>
    <t>BSIT701A</t>
  </si>
  <si>
    <t>BSCS501A</t>
  </si>
  <si>
    <t>BSCPE301A</t>
  </si>
  <si>
    <t>BSIT501A</t>
  </si>
  <si>
    <t>BSIT501E</t>
  </si>
  <si>
    <t>BSCS301A</t>
  </si>
  <si>
    <t>BSIT101P</t>
  </si>
  <si>
    <t>M</t>
  </si>
  <si>
    <t>T</t>
  </si>
  <si>
    <t>W</t>
  </si>
  <si>
    <t>TH</t>
  </si>
  <si>
    <t>F</t>
  </si>
  <si>
    <t>10:00-12:00</t>
  </si>
  <si>
    <t>1:00-4:00</t>
  </si>
  <si>
    <t>5:00-7:00</t>
  </si>
  <si>
    <t>9:00-11:00</t>
  </si>
  <si>
    <t>3:00-5:00</t>
  </si>
  <si>
    <t>1:00-3:00</t>
  </si>
  <si>
    <t>COMLAB4</t>
  </si>
  <si>
    <t>B3205</t>
  </si>
  <si>
    <t>B3104</t>
  </si>
  <si>
    <t>COMLAB1</t>
  </si>
  <si>
    <t>B1202</t>
  </si>
  <si>
    <t>B3206</t>
  </si>
  <si>
    <t>B3106</t>
  </si>
  <si>
    <t>COMLAB5</t>
  </si>
  <si>
    <t>B3102</t>
  </si>
  <si>
    <t>S</t>
  </si>
  <si>
    <t>SUN</t>
  </si>
  <si>
    <t>SN</t>
  </si>
  <si>
    <t>USELF</t>
  </si>
  <si>
    <t>BSCS101A</t>
  </si>
  <si>
    <t>9-10:30</t>
  </si>
  <si>
    <t>RIZAL'S LIFE</t>
  </si>
  <si>
    <t>BMMA301A</t>
  </si>
  <si>
    <t>1-2:30</t>
  </si>
  <si>
    <t>GREATBOOKS</t>
  </si>
  <si>
    <t>2:30-4</t>
  </si>
  <si>
    <t>MULTICULT DIVERSITY</t>
  </si>
  <si>
    <t>4-5:30</t>
  </si>
  <si>
    <t>DISCRETE STRC</t>
  </si>
  <si>
    <t>EXAM DAY</t>
  </si>
  <si>
    <t>PRINC COM</t>
  </si>
  <si>
    <t>QUANTITATIVE METHODS</t>
  </si>
  <si>
    <t>INTERMEDIATE WEBPROG</t>
  </si>
  <si>
    <t>INFO ASSURANCE</t>
  </si>
  <si>
    <t>10:30-12</t>
  </si>
  <si>
    <t>5:30-7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</si>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</sst>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m\ d&quot;, &quot;yyyy"/>
    <numFmt numFmtId="165" formatCode="#,###.00"/>
    <numFmt numFmtId="166" formatCode="0.0"/>
  </numFmts>
  <fonts count="42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10"/>
      <name val="Arial Narrow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6"/>
      <name val="Arial"/>
      <family val="2"/>
    </font>
    <font>
      <sz val="10"/>
      <name val="Candara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002060"/>
      <name val="Arial"/>
      <family val="2"/>
    </font>
    <font>
      <b/>
      <sz val="10"/>
      <color theme="4" tint="-0.249977111117893"/>
      <name val="Arial Black"/>
      <family val="2"/>
    </font>
    <font>
      <b/>
      <sz val="14"/>
      <color rgb="FFC00000"/>
      <name val="Candara"/>
      <family val="2"/>
    </font>
    <font>
      <sz val="1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1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66">
    <xf numFmtId="0" fontId="0" fillId="0" borderId="0" xfId="0"/>
    <xf numFmtId="0" fontId="20" fillId="0" borderId="0" xfId="0" applyFont="1" applyAlignment="1">
      <alignment horizontal="center"/>
    </xf>
    <xf numFmtId="0" fontId="0" fillId="0" borderId="0" xfId="0" applyBorder="1"/>
    <xf numFmtId="2" fontId="0" fillId="0" borderId="0" xfId="0" applyNumberFormat="1"/>
    <xf numFmtId="165" fontId="0" fillId="0" borderId="0" xfId="0" applyNumberFormat="1"/>
    <xf numFmtId="2" fontId="0" fillId="0" borderId="0" xfId="0" applyNumberFormat="1" applyBorder="1"/>
    <xf numFmtId="4" fontId="0" fillId="0" borderId="0" xfId="0" applyNumberFormat="1"/>
    <xf numFmtId="0" fontId="21" fillId="0" borderId="0" xfId="0" applyFont="1"/>
    <xf numFmtId="0" fontId="23" fillId="0" borderId="0" xfId="0" applyFont="1"/>
    <xf numFmtId="0" fontId="26" fillId="0" borderId="0" xfId="0" applyFont="1" applyFill="1"/>
    <xf numFmtId="0" fontId="27" fillId="0" borderId="0" xfId="0" applyFont="1" applyBorder="1" applyAlignment="1"/>
    <xf numFmtId="0" fontId="0" fillId="0" borderId="0" xfId="0" applyFont="1" applyBorder="1" applyAlignment="1"/>
    <xf numFmtId="0" fontId="20" fillId="0" borderId="0" xfId="0" applyFont="1" applyBorder="1" applyAlignment="1"/>
    <xf numFmtId="0" fontId="0" fillId="0" borderId="0" xfId="0" applyBorder="1" applyAlignment="1"/>
    <xf numFmtId="164" fontId="0" fillId="0" borderId="0" xfId="0" applyNumberFormat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19" fillId="0" borderId="0" xfId="0" applyFont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23" fillId="0" borderId="0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21" fillId="0" borderId="0" xfId="0" applyNumberFormat="1" applyFont="1" applyBorder="1" applyAlignment="1">
      <alignment horizontal="center"/>
    </xf>
    <xf numFmtId="0" fontId="22" fillId="0" borderId="0" xfId="0" applyNumberFormat="1" applyFont="1" applyBorder="1" applyAlignment="1">
      <alignment horizontal="center"/>
    </xf>
    <xf numFmtId="0" fontId="21" fillId="0" borderId="0" xfId="0" applyNumberFormat="1" applyFont="1" applyBorder="1" applyAlignment="1">
      <alignment horizontal="left"/>
    </xf>
    <xf numFmtId="0" fontId="24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0" fillId="0" borderId="10" xfId="0" applyBorder="1"/>
    <xf numFmtId="0" fontId="23" fillId="0" borderId="0" xfId="0" applyFont="1" applyBorder="1" applyAlignment="1"/>
    <xf numFmtId="0" fontId="0" fillId="0" borderId="0" xfId="0" applyAlignment="1"/>
    <xf numFmtId="1" fontId="0" fillId="0" borderId="0" xfId="0" applyNumberFormat="1" applyBorder="1" applyAlignment="1">
      <alignment horizontal="center"/>
    </xf>
    <xf numFmtId="1" fontId="28" fillId="0" borderId="0" xfId="0" applyNumberFormat="1" applyFont="1" applyBorder="1" applyAlignment="1">
      <alignment horizontal="center"/>
    </xf>
    <xf numFmtId="2" fontId="1" fillId="0" borderId="11" xfId="0" applyNumberFormat="1" applyFont="1" applyFill="1" applyBorder="1" applyAlignment="1">
      <alignment horizontal="center" vertical="center"/>
    </xf>
    <xf numFmtId="2" fontId="21" fillId="0" borderId="11" xfId="0" applyNumberFormat="1" applyFont="1" applyFill="1" applyBorder="1" applyAlignment="1">
      <alignment horizontal="center" vertical="center"/>
    </xf>
    <xf numFmtId="2" fontId="23" fillId="0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3" xfId="0" applyBorder="1"/>
    <xf numFmtId="2" fontId="1" fillId="0" borderId="14" xfId="0" applyNumberFormat="1" applyFont="1" applyFill="1" applyBorder="1" applyAlignment="1">
      <alignment horizontal="center"/>
    </xf>
    <xf numFmtId="0" fontId="0" fillId="0" borderId="15" xfId="0" applyBorder="1"/>
    <xf numFmtId="2" fontId="0" fillId="0" borderId="16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/>
    </xf>
    <xf numFmtId="49" fontId="29" fillId="0" borderId="11" xfId="0" applyNumberFormat="1" applyFont="1" applyBorder="1" applyAlignment="1">
      <alignment horizontal="left"/>
    </xf>
    <xf numFmtId="49" fontId="21" fillId="0" borderId="11" xfId="0" applyNumberFormat="1" applyFont="1" applyBorder="1" applyAlignment="1">
      <alignment horizontal="left"/>
    </xf>
    <xf numFmtId="0" fontId="23" fillId="0" borderId="11" xfId="0" applyFont="1" applyBorder="1" applyAlignment="1">
      <alignment horizontal="center"/>
    </xf>
    <xf numFmtId="0" fontId="21" fillId="0" borderId="11" xfId="0" applyFont="1" applyFill="1" applyBorder="1" applyAlignment="1">
      <alignment horizontal="left"/>
    </xf>
    <xf numFmtId="49" fontId="21" fillId="0" borderId="11" xfId="0" applyNumberFormat="1" applyFont="1" applyFill="1" applyBorder="1" applyAlignment="1">
      <alignment horizontal="left"/>
    </xf>
    <xf numFmtId="0" fontId="0" fillId="0" borderId="20" xfId="0" applyBorder="1"/>
    <xf numFmtId="0" fontId="23" fillId="0" borderId="22" xfId="0" applyFont="1" applyBorder="1"/>
    <xf numFmtId="0" fontId="31" fillId="0" borderId="0" xfId="0" applyFont="1" applyAlignment="1">
      <alignment horizontal="center"/>
    </xf>
    <xf numFmtId="0" fontId="32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28" fillId="0" borderId="0" xfId="0" applyFont="1"/>
    <xf numFmtId="0" fontId="28" fillId="0" borderId="0" xfId="0" applyFont="1" applyBorder="1"/>
    <xf numFmtId="0" fontId="21" fillId="0" borderId="21" xfId="37" applyFont="1" applyBorder="1" applyAlignment="1">
      <alignment horizontal="left" vertical="center"/>
    </xf>
    <xf numFmtId="0" fontId="21" fillId="0" borderId="13" xfId="37" applyFont="1" applyBorder="1" applyAlignment="1">
      <alignment horizontal="left" vertical="center"/>
    </xf>
    <xf numFmtId="1" fontId="1" fillId="0" borderId="11" xfId="0" applyNumberFormat="1" applyFont="1" applyFill="1" applyBorder="1" applyAlignment="1">
      <alignment horizontal="center" vertical="center"/>
    </xf>
    <xf numFmtId="1" fontId="21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/>
    </xf>
    <xf numFmtId="166" fontId="21" fillId="0" borderId="11" xfId="0" applyNumberFormat="1" applyFont="1" applyFill="1" applyBorder="1" applyAlignment="1">
      <alignment horizontal="center"/>
    </xf>
    <xf numFmtId="0" fontId="21" fillId="0" borderId="11" xfId="0" applyFont="1" applyBorder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28" fillId="0" borderId="0" xfId="0" applyFont="1" applyBorder="1" applyAlignment="1"/>
    <xf numFmtId="2" fontId="21" fillId="0" borderId="0" xfId="0" applyNumberFormat="1" applyFont="1" applyFill="1" applyBorder="1" applyAlignment="1">
      <alignment horizontal="center"/>
    </xf>
    <xf numFmtId="2" fontId="39" fillId="0" borderId="11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/>
    </xf>
    <xf numFmtId="1" fontId="33" fillId="0" borderId="14" xfId="0" applyNumberFormat="1" applyFont="1" applyFill="1" applyBorder="1" applyAlignment="1">
      <alignment horizontal="center"/>
    </xf>
    <xf numFmtId="0" fontId="34" fillId="0" borderId="11" xfId="0" applyFont="1" applyBorder="1" applyAlignment="1">
      <alignment horizontal="left"/>
    </xf>
    <xf numFmtId="0" fontId="34" fillId="0" borderId="0" xfId="0" applyFont="1" applyAlignment="1">
      <alignment horizontal="left"/>
    </xf>
    <xf numFmtId="49" fontId="35" fillId="0" borderId="11" xfId="0" applyNumberFormat="1" applyFont="1" applyBorder="1" applyAlignment="1">
      <alignment horizontal="center"/>
    </xf>
    <xf numFmtId="0" fontId="20" fillId="0" borderId="0" xfId="0" applyFont="1" applyFill="1" applyBorder="1" applyAlignment="1"/>
    <xf numFmtId="0" fontId="40" fillId="0" borderId="0" xfId="0" applyFont="1" applyFill="1" applyBorder="1" applyAlignment="1"/>
    <xf numFmtId="0" fontId="41" fillId="0" borderId="0" xfId="0" applyFont="1" applyBorder="1" applyAlignment="1"/>
    <xf numFmtId="0" fontId="41" fillId="0" borderId="0" xfId="0" applyFont="1"/>
    <xf numFmtId="0" fontId="21" fillId="26" borderId="23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2" fontId="23" fillId="0" borderId="17" xfId="0" applyNumberFormat="1" applyFont="1" applyFill="1" applyBorder="1" applyAlignment="1">
      <alignment horizontal="center" vertical="center"/>
    </xf>
    <xf numFmtId="2" fontId="21" fillId="0" borderId="17" xfId="0" applyNumberFormat="1" applyFont="1" applyFill="1" applyBorder="1" applyAlignment="1">
      <alignment horizontal="center" vertical="center"/>
    </xf>
    <xf numFmtId="1" fontId="38" fillId="0" borderId="17" xfId="0" applyNumberFormat="1" applyFont="1" applyFill="1" applyBorder="1" applyAlignment="1">
      <alignment horizontal="center" vertical="center"/>
    </xf>
    <xf numFmtId="2" fontId="1" fillId="0" borderId="17" xfId="0" applyNumberFormat="1" applyFont="1" applyFill="1" applyBorder="1" applyAlignment="1">
      <alignment horizontal="center" vertical="center"/>
    </xf>
    <xf numFmtId="0" fontId="21" fillId="0" borderId="11" xfId="37" applyFont="1" applyBorder="1" applyAlignment="1">
      <alignment horizontal="left" vertical="center"/>
    </xf>
    <xf numFmtId="0" fontId="21" fillId="0" borderId="11" xfId="37" applyFont="1" applyBorder="1" applyAlignment="1">
      <alignment horizontal="left"/>
    </xf>
    <xf numFmtId="0" fontId="36" fillId="0" borderId="11" xfId="37" applyFont="1" applyBorder="1" applyAlignment="1">
      <alignment horizontal="center"/>
    </xf>
    <xf numFmtId="49" fontId="21" fillId="0" borderId="11" xfId="37" applyNumberFormat="1" applyFont="1" applyBorder="1" applyAlignment="1">
      <alignment horizontal="center"/>
    </xf>
    <xf numFmtId="0" fontId="0" fillId="0" borderId="11" xfId="0" applyBorder="1"/>
    <xf numFmtId="2" fontId="23" fillId="24" borderId="11" xfId="37" applyNumberFormat="1" applyFont="1" applyFill="1" applyBorder="1" applyAlignment="1">
      <alignment horizontal="center" vertical="center"/>
    </xf>
    <xf numFmtId="0" fontId="21" fillId="0" borderId="11" xfId="37" applyFont="1" applyBorder="1" applyAlignment="1"/>
    <xf numFmtId="0" fontId="21" fillId="0" borderId="11" xfId="0" applyFont="1" applyBorder="1" applyAlignment="1"/>
    <xf numFmtId="0" fontId="0" fillId="0" borderId="11" xfId="0" applyBorder="1" applyAlignment="1"/>
    <xf numFmtId="2" fontId="33" fillId="0" borderId="31" xfId="0" applyNumberFormat="1" applyFont="1" applyFill="1" applyBorder="1" applyAlignment="1">
      <alignment horizontal="center"/>
    </xf>
    <xf numFmtId="2" fontId="23" fillId="0" borderId="11" xfId="37" applyNumberFormat="1" applyFont="1" applyFill="1" applyBorder="1" applyAlignment="1">
      <alignment horizontal="center" vertical="center"/>
    </xf>
    <xf numFmtId="2" fontId="23" fillId="25" borderId="11" xfId="37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2" fontId="37" fillId="0" borderId="11" xfId="0" applyNumberFormat="1" applyFont="1" applyFill="1" applyBorder="1" applyAlignment="1">
      <alignment horizontal="center" vertical="center"/>
    </xf>
    <xf numFmtId="2" fontId="28" fillId="0" borderId="11" xfId="0" applyNumberFormat="1" applyFont="1" applyFill="1" applyBorder="1" applyAlignment="1">
      <alignment horizontal="center" vertical="center"/>
    </xf>
    <xf numFmtId="2" fontId="23" fillId="0" borderId="11" xfId="0" applyNumberFormat="1" applyFont="1" applyBorder="1" applyAlignment="1">
      <alignment horizontal="center" vertical="center"/>
    </xf>
    <xf numFmtId="2" fontId="23" fillId="0" borderId="11" xfId="0" applyNumberFormat="1" applyFont="1" applyBorder="1" applyAlignment="1">
      <alignment vertical="center"/>
    </xf>
    <xf numFmtId="0" fontId="21" fillId="0" borderId="17" xfId="37" applyFont="1" applyBorder="1" applyAlignment="1"/>
    <xf numFmtId="0" fontId="21" fillId="0" borderId="17" xfId="37" applyFont="1" applyBorder="1" applyAlignment="1">
      <alignment horizontal="center" vertical="center"/>
    </xf>
    <xf numFmtId="16" fontId="21" fillId="0" borderId="17" xfId="37" applyNumberFormat="1" applyFont="1" applyBorder="1" applyAlignment="1">
      <alignment horizontal="center" vertical="center"/>
    </xf>
    <xf numFmtId="0" fontId="21" fillId="0" borderId="11" xfId="37" applyFont="1" applyBorder="1" applyAlignment="1">
      <alignment horizontal="center" vertical="center"/>
    </xf>
    <xf numFmtId="20" fontId="21" fillId="0" borderId="11" xfId="37" applyNumberFormat="1" applyFont="1" applyBorder="1" applyAlignment="1">
      <alignment horizontal="center" vertical="center"/>
    </xf>
    <xf numFmtId="20" fontId="21" fillId="0" borderId="17" xfId="37" applyNumberFormat="1" applyFont="1" applyBorder="1" applyAlignment="1">
      <alignment horizontal="center" vertical="center"/>
    </xf>
    <xf numFmtId="21" fontId="21" fillId="0" borderId="11" xfId="0" applyNumberFormat="1" applyFont="1" applyBorder="1" applyAlignment="1">
      <alignment horizontal="center"/>
    </xf>
    <xf numFmtId="49" fontId="21" fillId="0" borderId="11" xfId="0" applyNumberFormat="1" applyFont="1" applyBorder="1" applyAlignment="1">
      <alignment horizontal="center"/>
    </xf>
    <xf numFmtId="2" fontId="19" fillId="0" borderId="14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2" fontId="23" fillId="0" borderId="17" xfId="0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164" fontId="25" fillId="0" borderId="18" xfId="0" applyNumberFormat="1" applyFont="1" applyBorder="1" applyAlignment="1">
      <alignment horizontal="center"/>
    </xf>
    <xf numFmtId="164" fontId="25" fillId="0" borderId="19" xfId="0" applyNumberFormat="1" applyFont="1" applyBorder="1" applyAlignment="1">
      <alignment horizontal="center"/>
    </xf>
    <xf numFmtId="164" fontId="25" fillId="0" borderId="27" xfId="0" applyNumberFormat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NumberFormat="1" applyFont="1" applyBorder="1" applyAlignment="1">
      <alignment horizontal="center"/>
    </xf>
    <xf numFmtId="0" fontId="35" fillId="0" borderId="18" xfId="0" applyFont="1" applyBorder="1" applyAlignment="1">
      <alignment horizontal="left" vertical="center"/>
    </xf>
    <xf numFmtId="0" fontId="35" fillId="0" borderId="27" xfId="0" applyFont="1" applyBorder="1" applyAlignment="1">
      <alignment horizontal="left" vertical="center"/>
    </xf>
    <xf numFmtId="0" fontId="23" fillId="0" borderId="18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23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7" xfId="0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1" xfId="0" applyBorder="1" applyAlignment="1">
      <alignment horizontal="center"/>
    </xf>
    <xf numFmtId="0" fontId="23" fillId="0" borderId="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3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57150</xdr:rowOff>
    </xdr:from>
    <xdr:to>
      <xdr:col>1</xdr:col>
      <xdr:colOff>730250</xdr:colOff>
      <xdr:row>2</xdr:row>
      <xdr:rowOff>209550</xdr:rowOff>
    </xdr:to>
    <xdr:pic>
      <xdr:nvPicPr>
        <xdr:cNvPr id="83678" name="Picture 2" descr="STI LOGO">
          <a:extLst>
            <a:ext uri="{FF2B5EF4-FFF2-40B4-BE49-F238E27FC236}">
              <a16:creationId xmlns:a16="http://schemas.microsoft.com/office/drawing/2014/main" id="{6A21F538-FECC-4C34-896C-04BFBC8B9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7112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"/>
  <sheetViews>
    <sheetView tabSelected="1" view="pageBreakPreview" zoomScale="62" zoomScaleNormal="50" zoomScaleSheetLayoutView="62" workbookViewId="0">
      <selection activeCell="B6" sqref="B6:E6"/>
    </sheetView>
  </sheetViews>
  <sheetFormatPr defaultRowHeight="12.75" x14ac:dyDescent="0.2"/>
  <cols>
    <col min="1" max="1" width="0.5703125" customWidth="1"/>
    <col min="2" max="2" width="23.28515625" customWidth="1"/>
    <col min="3" max="3" width="11" customWidth="1"/>
    <col min="4" max="4" width="11.42578125" customWidth="1"/>
    <col min="5" max="5" width="11.140625" customWidth="1"/>
    <col min="6" max="6" width="8.7109375" customWidth="1"/>
    <col min="7" max="7" width="5.7109375" customWidth="1"/>
    <col min="8" max="8" width="5.42578125" customWidth="1"/>
    <col min="9" max="9" width="6.7109375" customWidth="1"/>
    <col min="10" max="11" width="5.7109375" customWidth="1"/>
    <col min="12" max="12" width="4.42578125" customWidth="1"/>
    <col min="13" max="13" width="4.28515625" customWidth="1"/>
    <col min="14" max="15" width="6.5703125" bestFit="1" customWidth="1"/>
    <col min="16" max="18" width="5.7109375" customWidth="1"/>
    <col min="19" max="19" width="6.5703125" bestFit="1" customWidth="1"/>
    <col min="20" max="22" width="5.7109375" customWidth="1"/>
    <col min="23" max="23" width="12" customWidth="1"/>
  </cols>
  <sheetData>
    <row r="1" spans="1:33" ht="18" x14ac:dyDescent="0.25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33" ht="18.75" x14ac:dyDescent="0.3">
      <c r="C2" s="12"/>
      <c r="D2" s="12"/>
      <c r="E2" s="12"/>
      <c r="F2" s="12"/>
      <c r="G2" s="18" t="s">
        <v>23</v>
      </c>
      <c r="H2" s="12"/>
      <c r="I2" s="12"/>
      <c r="J2" s="12"/>
      <c r="K2" s="12"/>
      <c r="L2" s="12"/>
      <c r="M2" s="12"/>
      <c r="N2" s="12"/>
      <c r="O2" s="12"/>
      <c r="P2" s="82"/>
      <c r="Q2" s="81"/>
      <c r="R2" s="83"/>
      <c r="S2" s="84"/>
      <c r="T2" s="84"/>
      <c r="U2" s="84"/>
      <c r="V2" s="84"/>
      <c r="W2" s="83"/>
    </row>
    <row r="3" spans="1:33" ht="18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Q3" s="76"/>
      <c r="R3" s="1"/>
      <c r="V3" s="1"/>
      <c r="W3" s="1"/>
    </row>
    <row r="4" spans="1:33" x14ac:dyDescent="0.2">
      <c r="R4" s="126"/>
      <c r="S4" s="127"/>
      <c r="T4" s="127"/>
      <c r="U4" s="127"/>
      <c r="V4" s="127"/>
      <c r="W4" s="127"/>
    </row>
    <row r="5" spans="1:33" x14ac:dyDescent="0.2">
      <c r="B5" s="128" t="s">
        <v>1</v>
      </c>
      <c r="C5" s="128"/>
      <c r="D5" s="128"/>
      <c r="E5" s="128"/>
      <c r="G5" s="128" t="s">
        <v>11</v>
      </c>
      <c r="H5" s="128"/>
      <c r="I5" s="128"/>
      <c r="K5" s="129" t="s">
        <v>12</v>
      </c>
      <c r="L5" s="129"/>
      <c r="M5" s="129"/>
      <c r="N5" s="129"/>
      <c r="O5" s="129"/>
      <c r="Q5" s="129" t="s">
        <v>0</v>
      </c>
      <c r="R5" s="129"/>
      <c r="S5" s="129"/>
      <c r="T5" s="129"/>
      <c r="U5" s="129"/>
      <c r="V5" s="129"/>
      <c r="W5" s="129"/>
    </row>
    <row r="6" spans="1:33" ht="15.75" x14ac:dyDescent="0.25">
      <c r="B6" s="130"/>
      <c r="C6" s="131"/>
      <c r="D6" s="131"/>
      <c r="E6" s="132"/>
      <c r="G6" s="133" t="s">
        <v>30</v>
      </c>
      <c r="H6" s="134"/>
      <c r="I6" s="135"/>
      <c r="K6" s="133" t="s">
        <v>31</v>
      </c>
      <c r="L6" s="134"/>
      <c r="M6" s="134"/>
      <c r="N6" s="134"/>
      <c r="O6" s="135"/>
      <c r="Q6" s="136">
        <v>45225</v>
      </c>
      <c r="R6" s="137"/>
      <c r="S6" s="137"/>
      <c r="T6" s="137"/>
      <c r="U6" s="136">
        <v>45240</v>
      </c>
      <c r="V6" s="137"/>
      <c r="W6" s="138"/>
      <c r="X6" s="14"/>
      <c r="Y6" s="2"/>
    </row>
    <row r="7" spans="1:33" ht="13.5" thickBot="1" x14ac:dyDescent="0.25">
      <c r="G7" s="59" t="s">
        <v>56</v>
      </c>
      <c r="H7" s="59" t="s">
        <v>57</v>
      </c>
      <c r="I7" s="59" t="s">
        <v>73</v>
      </c>
      <c r="J7" s="59" t="s">
        <v>74</v>
      </c>
      <c r="K7" s="59" t="s">
        <v>53</v>
      </c>
      <c r="L7" s="59" t="s">
        <v>54</v>
      </c>
      <c r="M7" s="59" t="s">
        <v>55</v>
      </c>
      <c r="N7" s="59" t="s">
        <v>56</v>
      </c>
      <c r="O7" s="59" t="s">
        <v>57</v>
      </c>
      <c r="P7" s="59" t="s">
        <v>73</v>
      </c>
      <c r="Q7" s="59" t="s">
        <v>75</v>
      </c>
      <c r="R7" s="59" t="s">
        <v>53</v>
      </c>
      <c r="S7" s="59" t="s">
        <v>54</v>
      </c>
      <c r="T7" s="59" t="s">
        <v>55</v>
      </c>
      <c r="U7" s="59" t="s">
        <v>56</v>
      </c>
      <c r="V7" s="59" t="s">
        <v>57</v>
      </c>
      <c r="Y7" s="19"/>
      <c r="Z7" s="20"/>
      <c r="AA7" s="20"/>
      <c r="AB7" s="20"/>
      <c r="AC7" s="20"/>
      <c r="AD7" s="20"/>
      <c r="AE7" s="20"/>
      <c r="AF7" s="20"/>
      <c r="AG7" s="2"/>
    </row>
    <row r="8" spans="1:33" x14ac:dyDescent="0.2">
      <c r="A8" s="45"/>
      <c r="B8" s="145" t="s">
        <v>17</v>
      </c>
      <c r="C8" s="146"/>
      <c r="D8" s="147" t="s">
        <v>18</v>
      </c>
      <c r="E8" s="147"/>
      <c r="F8" s="147"/>
      <c r="G8" s="85">
        <v>26</v>
      </c>
      <c r="H8" s="85">
        <v>27</v>
      </c>
      <c r="I8" s="85">
        <v>28</v>
      </c>
      <c r="J8" s="85">
        <v>29</v>
      </c>
      <c r="K8" s="85">
        <v>30</v>
      </c>
      <c r="L8" s="85">
        <v>31</v>
      </c>
      <c r="M8" s="85">
        <v>1</v>
      </c>
      <c r="N8" s="85">
        <v>2</v>
      </c>
      <c r="O8" s="85">
        <v>3</v>
      </c>
      <c r="P8" s="85">
        <v>4</v>
      </c>
      <c r="Q8" s="85">
        <v>5</v>
      </c>
      <c r="R8" s="85">
        <v>6</v>
      </c>
      <c r="S8" s="85">
        <v>7</v>
      </c>
      <c r="T8" s="85">
        <v>8</v>
      </c>
      <c r="U8" s="85">
        <v>9</v>
      </c>
      <c r="V8" s="85">
        <v>10</v>
      </c>
      <c r="W8" s="148" t="s">
        <v>2</v>
      </c>
      <c r="Z8" s="20"/>
      <c r="AA8" s="20"/>
      <c r="AB8" s="140"/>
      <c r="AC8" s="140"/>
      <c r="AD8" s="120"/>
      <c r="AE8" s="121"/>
      <c r="AF8" s="121"/>
      <c r="AG8" s="2"/>
    </row>
    <row r="9" spans="1:33" x14ac:dyDescent="0.2">
      <c r="A9" s="46"/>
      <c r="B9" s="54" t="s">
        <v>7</v>
      </c>
      <c r="C9" s="60" t="s">
        <v>13</v>
      </c>
      <c r="D9" s="61" t="s">
        <v>9</v>
      </c>
      <c r="E9" s="61" t="s">
        <v>10</v>
      </c>
      <c r="F9" s="61" t="s">
        <v>8</v>
      </c>
      <c r="G9" s="68">
        <v>11</v>
      </c>
      <c r="H9" s="68">
        <v>12</v>
      </c>
      <c r="I9" s="68">
        <v>13</v>
      </c>
      <c r="J9" s="68">
        <v>14</v>
      </c>
      <c r="K9" s="68">
        <v>15</v>
      </c>
      <c r="L9" s="68">
        <v>16</v>
      </c>
      <c r="M9" s="69"/>
      <c r="N9" s="68">
        <v>17</v>
      </c>
      <c r="O9" s="68">
        <v>18</v>
      </c>
      <c r="P9" s="68">
        <v>19</v>
      </c>
      <c r="Q9" s="68">
        <v>20</v>
      </c>
      <c r="R9" s="68">
        <v>21</v>
      </c>
      <c r="S9" s="68">
        <v>22</v>
      </c>
      <c r="T9" s="68">
        <v>23</v>
      </c>
      <c r="U9" s="68">
        <v>24</v>
      </c>
      <c r="V9" s="68">
        <v>25</v>
      </c>
      <c r="W9" s="149"/>
      <c r="Z9" s="19"/>
      <c r="AA9" s="20"/>
      <c r="AB9" s="23"/>
      <c r="AC9" s="23"/>
      <c r="AD9" s="22"/>
      <c r="AE9" s="22"/>
      <c r="AF9" s="22"/>
      <c r="AG9" s="2"/>
    </row>
    <row r="10" spans="1:33" ht="12.75" customHeight="1" x14ac:dyDescent="0.2">
      <c r="A10" s="46"/>
      <c r="B10" s="64" t="s">
        <v>38</v>
      </c>
      <c r="C10" s="111" t="s">
        <v>46</v>
      </c>
      <c r="D10" s="112" t="s">
        <v>53</v>
      </c>
      <c r="E10" s="113" t="s">
        <v>29</v>
      </c>
      <c r="F10" s="112" t="s">
        <v>64</v>
      </c>
      <c r="G10" s="40"/>
      <c r="H10" s="40"/>
      <c r="I10" s="40"/>
      <c r="J10" s="40"/>
      <c r="K10" s="40">
        <v>3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39">
        <f>SUM(G10:V10)</f>
        <v>3</v>
      </c>
      <c r="Z10" s="16"/>
      <c r="AA10" s="20"/>
      <c r="AB10" s="23"/>
      <c r="AC10" s="24"/>
      <c r="AD10" s="23"/>
      <c r="AE10" s="23"/>
      <c r="AF10" s="15"/>
      <c r="AG10" s="2"/>
    </row>
    <row r="11" spans="1:33" ht="12.75" customHeight="1" x14ac:dyDescent="0.2">
      <c r="A11" s="46"/>
      <c r="B11" s="64" t="s">
        <v>37</v>
      </c>
      <c r="C11" s="100" t="s">
        <v>47</v>
      </c>
      <c r="D11" s="112" t="s">
        <v>53</v>
      </c>
      <c r="E11" s="114" t="s">
        <v>27</v>
      </c>
      <c r="F11" s="112" t="s">
        <v>65</v>
      </c>
      <c r="G11" s="40"/>
      <c r="H11" s="40"/>
      <c r="I11" s="40"/>
      <c r="J11" s="40"/>
      <c r="K11" s="40">
        <v>3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39">
        <f t="shared" ref="W11:W36" si="0">SUM(G11:V11)</f>
        <v>3</v>
      </c>
      <c r="Z11" s="16"/>
      <c r="AA11" s="20"/>
      <c r="AB11" s="23"/>
      <c r="AC11" s="24"/>
      <c r="AD11" s="23"/>
      <c r="AE11" s="23"/>
      <c r="AF11" s="15"/>
      <c r="AG11" s="2"/>
    </row>
    <row r="12" spans="1:33" ht="12.75" customHeight="1" x14ac:dyDescent="0.2">
      <c r="A12" s="46"/>
      <c r="B12" s="64" t="s">
        <v>39</v>
      </c>
      <c r="C12" s="111" t="s">
        <v>48</v>
      </c>
      <c r="D12" s="112" t="s">
        <v>54</v>
      </c>
      <c r="E12" s="112" t="s">
        <v>58</v>
      </c>
      <c r="F12" s="112" t="s">
        <v>66</v>
      </c>
      <c r="G12" s="40"/>
      <c r="H12" s="40"/>
      <c r="I12" s="40"/>
      <c r="J12" s="40"/>
      <c r="K12" s="40"/>
      <c r="L12" s="40">
        <v>2</v>
      </c>
      <c r="M12" s="40"/>
      <c r="N12" s="40"/>
      <c r="O12" s="40"/>
      <c r="P12" s="40"/>
      <c r="Q12" s="40"/>
      <c r="R12" s="40"/>
      <c r="S12" s="40">
        <v>2</v>
      </c>
      <c r="T12" s="40"/>
      <c r="U12" s="40"/>
      <c r="V12" s="40"/>
      <c r="W12" s="39">
        <f t="shared" si="0"/>
        <v>4</v>
      </c>
      <c r="Z12" s="16"/>
      <c r="AA12" s="20"/>
      <c r="AB12" s="23"/>
      <c r="AC12" s="24"/>
      <c r="AD12" s="23"/>
      <c r="AE12" s="23"/>
      <c r="AF12" s="15"/>
      <c r="AG12" s="2"/>
    </row>
    <row r="13" spans="1:33" ht="12.75" customHeight="1" x14ac:dyDescent="0.2">
      <c r="A13" s="46"/>
      <c r="B13" s="64" t="s">
        <v>40</v>
      </c>
      <c r="C13" s="111" t="s">
        <v>48</v>
      </c>
      <c r="D13" s="112" t="s">
        <v>54</v>
      </c>
      <c r="E13" s="114" t="s">
        <v>59</v>
      </c>
      <c r="F13" s="114" t="s">
        <v>67</v>
      </c>
      <c r="G13" s="40"/>
      <c r="H13" s="40"/>
      <c r="I13" s="40"/>
      <c r="J13" s="40"/>
      <c r="K13" s="40"/>
      <c r="L13" s="40">
        <v>3</v>
      </c>
      <c r="M13" s="40"/>
      <c r="N13" s="40"/>
      <c r="O13" s="40"/>
      <c r="P13" s="40"/>
      <c r="Q13" s="40"/>
      <c r="R13" s="40"/>
      <c r="S13" s="40">
        <v>3</v>
      </c>
      <c r="T13" s="40"/>
      <c r="U13" s="40"/>
      <c r="V13" s="40"/>
      <c r="W13" s="39">
        <f t="shared" si="0"/>
        <v>6</v>
      </c>
      <c r="Z13" s="16"/>
      <c r="AA13" s="20"/>
      <c r="AB13" s="23"/>
      <c r="AC13" s="24"/>
      <c r="AD13" s="23"/>
      <c r="AE13" s="23"/>
      <c r="AF13" s="15"/>
      <c r="AG13" s="2"/>
    </row>
    <row r="14" spans="1:33" ht="12.75" customHeight="1" x14ac:dyDescent="0.2">
      <c r="A14" s="46"/>
      <c r="B14" s="64" t="s">
        <v>41</v>
      </c>
      <c r="C14" s="99" t="s">
        <v>46</v>
      </c>
      <c r="D14" s="112" t="s">
        <v>54</v>
      </c>
      <c r="E14" s="115" t="s">
        <v>60</v>
      </c>
      <c r="F14" s="114" t="s">
        <v>68</v>
      </c>
      <c r="G14" s="40"/>
      <c r="H14" s="40"/>
      <c r="I14" s="40"/>
      <c r="J14" s="40"/>
      <c r="K14" s="40"/>
      <c r="L14" s="40">
        <v>2</v>
      </c>
      <c r="M14" s="40"/>
      <c r="N14" s="40"/>
      <c r="O14" s="40"/>
      <c r="P14" s="40"/>
      <c r="Q14" s="40"/>
      <c r="R14" s="40"/>
      <c r="S14" s="40">
        <v>2</v>
      </c>
      <c r="T14" s="40"/>
      <c r="U14" s="40"/>
      <c r="V14" s="40"/>
      <c r="W14" s="39">
        <f t="shared" si="0"/>
        <v>4</v>
      </c>
      <c r="Z14" s="16"/>
      <c r="AA14" s="20"/>
      <c r="AB14" s="23"/>
      <c r="AC14" s="24"/>
      <c r="AD14" s="23"/>
      <c r="AE14" s="23"/>
      <c r="AF14" s="15"/>
      <c r="AG14" s="2"/>
    </row>
    <row r="15" spans="1:33" ht="12.75" customHeight="1" x14ac:dyDescent="0.2">
      <c r="A15" s="46"/>
      <c r="B15" s="64" t="s">
        <v>42</v>
      </c>
      <c r="C15" s="100" t="s">
        <v>49</v>
      </c>
      <c r="D15" s="114" t="s">
        <v>55</v>
      </c>
      <c r="E15" s="112" t="s">
        <v>61</v>
      </c>
      <c r="F15" s="112" t="s">
        <v>69</v>
      </c>
      <c r="G15" s="40"/>
      <c r="H15" s="40"/>
      <c r="I15" s="40"/>
      <c r="J15" s="40"/>
      <c r="K15" s="40"/>
      <c r="L15" s="40"/>
      <c r="M15" s="40">
        <v>2</v>
      </c>
      <c r="N15" s="40"/>
      <c r="O15" s="40"/>
      <c r="P15" s="40"/>
      <c r="Q15" s="40"/>
      <c r="R15" s="40"/>
      <c r="S15" s="40"/>
      <c r="T15" s="40"/>
      <c r="U15" s="40"/>
      <c r="V15" s="40"/>
      <c r="W15" s="39">
        <f t="shared" si="0"/>
        <v>2</v>
      </c>
      <c r="Z15" s="16"/>
      <c r="AA15" s="20"/>
      <c r="AB15" s="23"/>
      <c r="AC15" s="24"/>
      <c r="AD15" s="23"/>
      <c r="AE15" s="23"/>
      <c r="AF15" s="15"/>
      <c r="AG15" s="2"/>
    </row>
    <row r="16" spans="1:33" x14ac:dyDescent="0.2">
      <c r="A16" s="46"/>
      <c r="B16" s="64" t="s">
        <v>43</v>
      </c>
      <c r="C16" s="100" t="s">
        <v>49</v>
      </c>
      <c r="D16" s="43" t="s">
        <v>55</v>
      </c>
      <c r="E16" s="115" t="s">
        <v>28</v>
      </c>
      <c r="F16" s="112" t="s">
        <v>64</v>
      </c>
      <c r="G16" s="40"/>
      <c r="H16" s="40"/>
      <c r="I16" s="40"/>
      <c r="J16" s="40"/>
      <c r="K16" s="40"/>
      <c r="L16" s="40"/>
      <c r="M16" s="40">
        <v>3</v>
      </c>
      <c r="N16" s="40"/>
      <c r="O16" s="40"/>
      <c r="P16" s="40"/>
      <c r="Q16" s="40"/>
      <c r="R16" s="40"/>
      <c r="S16" s="40"/>
      <c r="T16" s="40"/>
      <c r="U16" s="40"/>
      <c r="V16" s="40"/>
      <c r="W16" s="39">
        <f t="shared" si="0"/>
        <v>3</v>
      </c>
      <c r="Y16" s="16"/>
      <c r="Z16" s="16"/>
      <c r="AA16" s="20"/>
      <c r="AB16" s="24"/>
      <c r="AC16" s="24"/>
      <c r="AD16" s="23"/>
      <c r="AE16" s="23"/>
      <c r="AF16" s="17"/>
      <c r="AG16" s="2"/>
    </row>
    <row r="17" spans="1:33" x14ac:dyDescent="0.2">
      <c r="A17" s="46"/>
      <c r="B17" s="64" t="s">
        <v>42</v>
      </c>
      <c r="C17" s="100" t="s">
        <v>50</v>
      </c>
      <c r="D17" s="43" t="s">
        <v>55</v>
      </c>
      <c r="E17" s="112" t="s">
        <v>62</v>
      </c>
      <c r="F17" s="112" t="s">
        <v>69</v>
      </c>
      <c r="G17" s="40"/>
      <c r="H17" s="40"/>
      <c r="I17" s="40"/>
      <c r="J17" s="40"/>
      <c r="K17" s="40"/>
      <c r="L17" s="40"/>
      <c r="M17" s="40">
        <v>2</v>
      </c>
      <c r="N17" s="40"/>
      <c r="O17" s="40"/>
      <c r="P17" s="40"/>
      <c r="Q17" s="40"/>
      <c r="R17" s="40"/>
      <c r="S17" s="40"/>
      <c r="T17" s="40"/>
      <c r="U17" s="40"/>
      <c r="V17" s="40"/>
      <c r="W17" s="39">
        <f t="shared" si="0"/>
        <v>2</v>
      </c>
      <c r="Y17" s="16"/>
      <c r="Z17" s="16"/>
      <c r="AA17" s="20"/>
      <c r="AB17" s="23"/>
      <c r="AC17" s="24"/>
      <c r="AD17" s="23"/>
      <c r="AE17" s="23"/>
      <c r="AF17" s="17"/>
      <c r="AG17" s="2"/>
    </row>
    <row r="18" spans="1:33" ht="12.75" customHeight="1" x14ac:dyDescent="0.2">
      <c r="A18" s="46"/>
      <c r="B18" s="64" t="s">
        <v>43</v>
      </c>
      <c r="C18" s="100" t="s">
        <v>50</v>
      </c>
      <c r="D18" s="114" t="s">
        <v>55</v>
      </c>
      <c r="E18" s="114" t="s">
        <v>35</v>
      </c>
      <c r="F18" s="114" t="s">
        <v>64</v>
      </c>
      <c r="G18" s="40"/>
      <c r="H18" s="40"/>
      <c r="I18" s="40"/>
      <c r="J18" s="40"/>
      <c r="K18" s="109"/>
      <c r="L18" s="40"/>
      <c r="M18" s="40">
        <v>3</v>
      </c>
      <c r="N18" s="40"/>
      <c r="O18" s="40"/>
      <c r="P18" s="40"/>
      <c r="Q18" s="40"/>
      <c r="R18" s="109"/>
      <c r="S18" s="40"/>
      <c r="T18" s="40">
        <v>3</v>
      </c>
      <c r="U18" s="40"/>
      <c r="V18" s="40"/>
      <c r="W18" s="39">
        <f t="shared" si="0"/>
        <v>6</v>
      </c>
      <c r="Z18" s="16"/>
      <c r="AA18" s="20"/>
      <c r="AB18" s="21"/>
      <c r="AC18" s="24"/>
      <c r="AD18" s="23"/>
      <c r="AE18" s="23"/>
      <c r="AF18" s="16"/>
      <c r="AG18" s="2"/>
    </row>
    <row r="19" spans="1:33" x14ac:dyDescent="0.2">
      <c r="A19" s="46"/>
      <c r="B19" s="64" t="s">
        <v>39</v>
      </c>
      <c r="C19" s="100" t="s">
        <v>51</v>
      </c>
      <c r="D19" s="114" t="s">
        <v>56</v>
      </c>
      <c r="E19" s="115" t="s">
        <v>61</v>
      </c>
      <c r="F19" s="114" t="s">
        <v>70</v>
      </c>
      <c r="G19" s="40">
        <v>2</v>
      </c>
      <c r="H19" s="40"/>
      <c r="I19" s="40"/>
      <c r="J19" s="40"/>
      <c r="K19" s="109"/>
      <c r="L19" s="40"/>
      <c r="M19" s="40"/>
      <c r="N19" s="40">
        <v>2</v>
      </c>
      <c r="O19" s="40"/>
      <c r="P19" s="40"/>
      <c r="Q19" s="40"/>
      <c r="R19" s="109"/>
      <c r="S19" s="40"/>
      <c r="T19" s="40"/>
      <c r="U19" s="40">
        <v>2</v>
      </c>
      <c r="V19" s="40"/>
      <c r="W19" s="39">
        <f t="shared" si="0"/>
        <v>6</v>
      </c>
      <c r="Y19" s="16"/>
      <c r="Z19" s="16"/>
      <c r="AA19" s="20"/>
      <c r="AB19" s="24"/>
      <c r="AC19" s="24"/>
      <c r="AD19" s="23"/>
      <c r="AE19" s="23"/>
      <c r="AF19" s="17"/>
      <c r="AG19" s="2"/>
    </row>
    <row r="20" spans="1:33" x14ac:dyDescent="0.2">
      <c r="A20" s="57"/>
      <c r="B20" s="65" t="s">
        <v>44</v>
      </c>
      <c r="C20" s="100" t="s">
        <v>52</v>
      </c>
      <c r="D20" s="114" t="s">
        <v>56</v>
      </c>
      <c r="E20" s="116" t="s">
        <v>28</v>
      </c>
      <c r="F20" s="114" t="s">
        <v>67</v>
      </c>
      <c r="G20" s="40">
        <v>3</v>
      </c>
      <c r="H20" s="40"/>
      <c r="I20" s="40"/>
      <c r="J20" s="40"/>
      <c r="K20" s="109"/>
      <c r="L20" s="40"/>
      <c r="M20" s="98"/>
      <c r="N20" s="40">
        <v>3</v>
      </c>
      <c r="O20" s="40"/>
      <c r="P20" s="40"/>
      <c r="Q20" s="40"/>
      <c r="R20" s="109"/>
      <c r="S20" s="40"/>
      <c r="T20" s="98"/>
      <c r="U20" s="98">
        <v>3</v>
      </c>
      <c r="V20" s="40"/>
      <c r="W20" s="39">
        <f t="shared" si="0"/>
        <v>9</v>
      </c>
      <c r="Y20" s="16"/>
      <c r="Z20" s="16"/>
      <c r="AA20" s="20"/>
      <c r="AB20" s="24"/>
      <c r="AC20" s="24"/>
      <c r="AD20" s="23"/>
      <c r="AE20" s="23"/>
      <c r="AF20" s="17"/>
      <c r="AG20" s="2"/>
    </row>
    <row r="21" spans="1:33" x14ac:dyDescent="0.2">
      <c r="A21" s="58"/>
      <c r="B21" s="65" t="s">
        <v>40</v>
      </c>
      <c r="C21" s="100" t="s">
        <v>51</v>
      </c>
      <c r="D21" s="114" t="s">
        <v>57</v>
      </c>
      <c r="E21" s="114" t="s">
        <v>32</v>
      </c>
      <c r="F21" s="114" t="s">
        <v>71</v>
      </c>
      <c r="G21" s="40"/>
      <c r="H21" s="40">
        <v>3</v>
      </c>
      <c r="I21" s="40"/>
      <c r="J21" s="40"/>
      <c r="K21" s="109"/>
      <c r="L21" s="40"/>
      <c r="M21" s="98"/>
      <c r="N21" s="40"/>
      <c r="O21" s="40"/>
      <c r="P21" s="40"/>
      <c r="Q21" s="40"/>
      <c r="R21" s="109"/>
      <c r="S21" s="40"/>
      <c r="T21" s="98"/>
      <c r="U21" s="98"/>
      <c r="V21" s="40">
        <v>3</v>
      </c>
      <c r="W21" s="39">
        <f t="shared" si="0"/>
        <v>6</v>
      </c>
      <c r="Y21" s="16"/>
      <c r="Z21" s="16"/>
      <c r="AA21" s="20"/>
      <c r="AB21" s="24"/>
      <c r="AC21" s="24"/>
      <c r="AD21" s="23"/>
      <c r="AE21" s="23"/>
      <c r="AF21" s="17"/>
      <c r="AG21" s="2"/>
    </row>
    <row r="22" spans="1:33" x14ac:dyDescent="0.2">
      <c r="A22" s="87"/>
      <c r="B22" s="70" t="s">
        <v>45</v>
      </c>
      <c r="C22" s="100" t="s">
        <v>52</v>
      </c>
      <c r="D22" s="43" t="s">
        <v>57</v>
      </c>
      <c r="E22" s="115" t="s">
        <v>63</v>
      </c>
      <c r="F22" s="114" t="s">
        <v>72</v>
      </c>
      <c r="G22" s="40"/>
      <c r="H22" s="40">
        <v>2</v>
      </c>
      <c r="I22" s="40"/>
      <c r="J22" s="40"/>
      <c r="K22" s="40"/>
      <c r="L22" s="40"/>
      <c r="M22" s="98"/>
      <c r="N22" s="103"/>
      <c r="O22" s="40"/>
      <c r="P22" s="40"/>
      <c r="Q22" s="40"/>
      <c r="R22" s="40"/>
      <c r="S22" s="40"/>
      <c r="T22" s="98"/>
      <c r="U22" s="103"/>
      <c r="V22" s="40">
        <v>2</v>
      </c>
      <c r="W22" s="39">
        <f t="shared" si="0"/>
        <v>4</v>
      </c>
      <c r="Y22" s="16"/>
      <c r="Z22" s="16"/>
      <c r="AA22" s="20"/>
      <c r="AB22" s="24"/>
      <c r="AC22" s="24"/>
      <c r="AD22" s="23"/>
      <c r="AE22" s="23"/>
      <c r="AF22" s="17"/>
      <c r="AG22" s="2"/>
    </row>
    <row r="23" spans="1:33" ht="15" x14ac:dyDescent="0.2">
      <c r="A23" s="88"/>
      <c r="B23" s="123" t="s">
        <v>87</v>
      </c>
      <c r="C23" s="124"/>
      <c r="D23" s="124"/>
      <c r="E23" s="124"/>
      <c r="F23" s="125"/>
      <c r="G23" s="40"/>
      <c r="H23" s="40"/>
      <c r="I23" s="40"/>
      <c r="J23" s="40"/>
      <c r="K23" s="40"/>
      <c r="L23" s="40"/>
      <c r="M23" s="98"/>
      <c r="N23" s="98"/>
      <c r="O23" s="98"/>
      <c r="P23" s="108"/>
      <c r="Q23" s="40"/>
      <c r="R23" s="40"/>
      <c r="S23" s="40"/>
      <c r="T23" s="98"/>
      <c r="U23" s="104"/>
      <c r="V23" s="40"/>
      <c r="W23" s="39">
        <f t="shared" si="0"/>
        <v>0</v>
      </c>
      <c r="Y23" s="16"/>
      <c r="Z23" s="16"/>
      <c r="AA23" s="20"/>
      <c r="AB23" s="24"/>
      <c r="AC23" s="24"/>
      <c r="AD23" s="23"/>
      <c r="AE23" s="23"/>
      <c r="AF23" s="17"/>
      <c r="AG23" s="2"/>
    </row>
    <row r="24" spans="1:33" ht="15" x14ac:dyDescent="0.2">
      <c r="A24" s="88"/>
      <c r="B24" s="93" t="s">
        <v>76</v>
      </c>
      <c r="C24" s="99" t="s">
        <v>77</v>
      </c>
      <c r="D24" s="114" t="s">
        <v>57</v>
      </c>
      <c r="E24" s="114" t="s">
        <v>78</v>
      </c>
      <c r="F24" s="114" t="s">
        <v>69</v>
      </c>
      <c r="G24" s="40"/>
      <c r="H24" s="40"/>
      <c r="I24" s="40"/>
      <c r="J24" s="40"/>
      <c r="K24" s="40"/>
      <c r="L24" s="40"/>
      <c r="M24" s="98"/>
      <c r="N24" s="98"/>
      <c r="O24" s="98">
        <v>1.5</v>
      </c>
      <c r="P24" s="108"/>
      <c r="Q24" s="40"/>
      <c r="R24" s="40"/>
      <c r="S24" s="40"/>
      <c r="T24" s="40"/>
      <c r="U24" s="40"/>
      <c r="V24" s="104"/>
      <c r="W24" s="39">
        <f t="shared" si="0"/>
        <v>1.5</v>
      </c>
      <c r="Y24" s="16"/>
      <c r="Z24" s="16"/>
      <c r="AA24" s="20"/>
      <c r="AB24" s="23"/>
      <c r="AC24" s="24"/>
      <c r="AD24" s="23"/>
      <c r="AE24" s="23"/>
      <c r="AF24" s="17"/>
      <c r="AG24" s="2"/>
    </row>
    <row r="25" spans="1:33" x14ac:dyDescent="0.2">
      <c r="A25" s="88"/>
      <c r="B25" s="93" t="s">
        <v>79</v>
      </c>
      <c r="C25" s="100" t="s">
        <v>80</v>
      </c>
      <c r="D25" s="43" t="s">
        <v>57</v>
      </c>
      <c r="E25" s="43" t="s">
        <v>81</v>
      </c>
      <c r="F25" s="114" t="s">
        <v>69</v>
      </c>
      <c r="G25" s="40"/>
      <c r="H25" s="40"/>
      <c r="I25" s="40"/>
      <c r="J25" s="40"/>
      <c r="K25" s="40"/>
      <c r="L25" s="40"/>
      <c r="M25" s="40"/>
      <c r="N25" s="40"/>
      <c r="O25" s="40">
        <v>1.5</v>
      </c>
      <c r="P25" s="40"/>
      <c r="Q25" s="40"/>
      <c r="R25" s="40"/>
      <c r="S25" s="40"/>
      <c r="T25" s="40"/>
      <c r="U25" s="40"/>
      <c r="V25" s="104"/>
      <c r="W25" s="39">
        <f t="shared" si="0"/>
        <v>1.5</v>
      </c>
      <c r="Y25" s="16"/>
      <c r="Z25" s="16"/>
      <c r="AA25" s="20"/>
      <c r="AB25" s="23"/>
      <c r="AC25" s="24"/>
      <c r="AD25" s="23"/>
      <c r="AE25" s="23"/>
      <c r="AF25" s="17"/>
      <c r="AG25" s="2"/>
    </row>
    <row r="26" spans="1:33" x14ac:dyDescent="0.2">
      <c r="A26" s="88"/>
      <c r="B26" s="94" t="s">
        <v>82</v>
      </c>
      <c r="C26" s="99" t="s">
        <v>34</v>
      </c>
      <c r="D26" s="95" t="s">
        <v>57</v>
      </c>
      <c r="E26" s="96" t="s">
        <v>83</v>
      </c>
      <c r="F26" s="96" t="s">
        <v>69</v>
      </c>
      <c r="G26" s="40"/>
      <c r="H26" s="40"/>
      <c r="I26" s="40"/>
      <c r="J26" s="40"/>
      <c r="K26" s="40"/>
      <c r="L26" s="98"/>
      <c r="M26" s="98"/>
      <c r="N26" s="104"/>
      <c r="O26" s="104">
        <v>1.5</v>
      </c>
      <c r="P26" s="40"/>
      <c r="Q26" s="40"/>
      <c r="R26" s="40"/>
      <c r="S26" s="40"/>
      <c r="T26" s="40"/>
      <c r="U26" s="40"/>
      <c r="V26" s="104"/>
      <c r="W26" s="39">
        <f t="shared" si="0"/>
        <v>1.5</v>
      </c>
      <c r="Y26" s="16"/>
      <c r="Z26" s="16"/>
      <c r="AA26" s="20"/>
      <c r="AB26" s="23"/>
      <c r="AC26" s="24"/>
      <c r="AD26" s="23"/>
      <c r="AE26" s="23"/>
      <c r="AF26" s="17"/>
      <c r="AG26" s="2"/>
    </row>
    <row r="27" spans="1:33" ht="17.100000000000001" customHeight="1" x14ac:dyDescent="0.2">
      <c r="A27" s="88"/>
      <c r="B27" s="70" t="s">
        <v>84</v>
      </c>
      <c r="C27" s="100" t="s">
        <v>34</v>
      </c>
      <c r="D27" s="43" t="s">
        <v>57</v>
      </c>
      <c r="E27" s="43" t="s">
        <v>85</v>
      </c>
      <c r="F27" s="43" t="s">
        <v>69</v>
      </c>
      <c r="G27" s="109"/>
      <c r="H27" s="109"/>
      <c r="I27" s="109"/>
      <c r="J27" s="109"/>
      <c r="K27" s="109"/>
      <c r="L27" s="109"/>
      <c r="M27" s="109"/>
      <c r="N27" s="109"/>
      <c r="O27" s="109">
        <v>1.5</v>
      </c>
      <c r="P27" s="109"/>
      <c r="Q27" s="109"/>
      <c r="R27" s="109"/>
      <c r="S27" s="109"/>
      <c r="T27" s="109"/>
      <c r="U27" s="109"/>
      <c r="V27" s="109"/>
      <c r="W27" s="39">
        <f t="shared" si="0"/>
        <v>1.5</v>
      </c>
      <c r="Y27" s="16"/>
      <c r="Z27" s="16"/>
      <c r="AA27" s="20"/>
      <c r="AB27" s="23"/>
      <c r="AC27" s="25"/>
      <c r="AD27" s="23"/>
      <c r="AE27" s="23"/>
      <c r="AF27" s="16"/>
      <c r="AG27" s="2"/>
    </row>
    <row r="28" spans="1:33" ht="17.100000000000001" customHeight="1" x14ac:dyDescent="0.2">
      <c r="A28" s="88"/>
      <c r="B28" s="70" t="s">
        <v>86</v>
      </c>
      <c r="C28" s="100" t="s">
        <v>51</v>
      </c>
      <c r="D28" s="106" t="s">
        <v>53</v>
      </c>
      <c r="E28" s="117">
        <v>0.3822916666666667</v>
      </c>
      <c r="F28" s="43" t="s">
        <v>72</v>
      </c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>
        <v>1.5</v>
      </c>
      <c r="S28" s="109"/>
      <c r="T28" s="109"/>
      <c r="U28" s="109"/>
      <c r="V28" s="109"/>
      <c r="W28" s="39">
        <f t="shared" si="0"/>
        <v>1.5</v>
      </c>
      <c r="Y28" s="16"/>
      <c r="Z28" s="16"/>
      <c r="AA28" s="20"/>
      <c r="AB28" s="23"/>
      <c r="AC28" s="25"/>
      <c r="AD28" s="24"/>
      <c r="AE28" s="23"/>
      <c r="AF28" s="16"/>
      <c r="AG28" s="2"/>
    </row>
    <row r="29" spans="1:33" x14ac:dyDescent="0.2">
      <c r="A29" s="88"/>
      <c r="B29" s="70" t="s">
        <v>88</v>
      </c>
      <c r="C29" s="100"/>
      <c r="D29" s="106" t="s">
        <v>53</v>
      </c>
      <c r="E29" s="43" t="s">
        <v>92</v>
      </c>
      <c r="F29" s="43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>
        <v>1.5</v>
      </c>
      <c r="S29" s="109"/>
      <c r="T29" s="109"/>
      <c r="U29" s="109"/>
      <c r="V29" s="109"/>
      <c r="W29" s="39">
        <f t="shared" si="0"/>
        <v>1.5</v>
      </c>
      <c r="Y29" s="16"/>
      <c r="Z29" s="16"/>
      <c r="AA29" s="20"/>
      <c r="AB29" s="140"/>
      <c r="AC29" s="140"/>
      <c r="AD29" s="23"/>
      <c r="AE29" s="23"/>
      <c r="AF29" s="16"/>
      <c r="AG29" s="2"/>
    </row>
    <row r="30" spans="1:33" ht="12.75" customHeight="1" x14ac:dyDescent="0.2">
      <c r="A30" s="88"/>
      <c r="B30" s="70" t="s">
        <v>33</v>
      </c>
      <c r="C30" s="100"/>
      <c r="D30" s="106" t="s">
        <v>53</v>
      </c>
      <c r="E30" s="43" t="s">
        <v>81</v>
      </c>
      <c r="F30" s="43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>
        <v>1.5</v>
      </c>
      <c r="S30" s="109"/>
      <c r="T30" s="109"/>
      <c r="U30" s="109"/>
      <c r="V30" s="109"/>
      <c r="W30" s="39">
        <f t="shared" si="0"/>
        <v>1.5</v>
      </c>
      <c r="Y30" s="16"/>
      <c r="Z30" s="16"/>
      <c r="AA30" s="20"/>
      <c r="AB30" s="26"/>
      <c r="AC30" s="25"/>
      <c r="AD30" s="23"/>
      <c r="AE30" s="23"/>
      <c r="AF30" s="16"/>
      <c r="AG30" s="2"/>
    </row>
    <row r="31" spans="1:33" x14ac:dyDescent="0.2">
      <c r="B31" s="70" t="s">
        <v>89</v>
      </c>
      <c r="C31" s="70"/>
      <c r="D31" s="106" t="s">
        <v>53</v>
      </c>
      <c r="E31" s="43" t="s">
        <v>83</v>
      </c>
      <c r="F31" s="43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09">
        <v>1.5</v>
      </c>
      <c r="S31" s="110"/>
      <c r="T31" s="110"/>
      <c r="U31" s="110"/>
      <c r="V31" s="110"/>
      <c r="W31" s="39">
        <f t="shared" si="0"/>
        <v>1.5</v>
      </c>
    </row>
    <row r="32" spans="1:33" ht="17.100000000000001" customHeight="1" x14ac:dyDescent="0.2">
      <c r="A32" s="88"/>
      <c r="B32" s="105" t="s">
        <v>90</v>
      </c>
      <c r="C32" s="105"/>
      <c r="D32" s="106" t="s">
        <v>53</v>
      </c>
      <c r="E32" s="118" t="s">
        <v>85</v>
      </c>
      <c r="F32" s="118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>
        <v>1.5</v>
      </c>
      <c r="S32" s="40"/>
      <c r="T32" s="40"/>
      <c r="U32" s="40"/>
      <c r="V32" s="40"/>
      <c r="W32" s="39">
        <f t="shared" si="0"/>
        <v>1.5</v>
      </c>
      <c r="Y32" s="16"/>
      <c r="Z32" s="16"/>
      <c r="AA32" s="20"/>
      <c r="AB32" s="26"/>
      <c r="AC32" s="25"/>
      <c r="AD32" s="23"/>
      <c r="AE32" s="23"/>
      <c r="AF32" s="16"/>
      <c r="AG32" s="2"/>
    </row>
    <row r="33" spans="1:33" ht="12.75" customHeight="1" x14ac:dyDescent="0.2">
      <c r="A33" s="88"/>
      <c r="B33" s="105" t="s">
        <v>91</v>
      </c>
      <c r="C33" s="105"/>
      <c r="D33" s="106" t="s">
        <v>53</v>
      </c>
      <c r="E33" s="118" t="s">
        <v>93</v>
      </c>
      <c r="F33" s="118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>
        <v>1.5</v>
      </c>
      <c r="S33" s="40"/>
      <c r="T33" s="40"/>
      <c r="U33" s="40"/>
      <c r="V33" s="40"/>
      <c r="W33" s="39">
        <f t="shared" si="0"/>
        <v>1.5</v>
      </c>
      <c r="Y33" s="16"/>
      <c r="Z33" s="16"/>
      <c r="AA33" s="20"/>
      <c r="AB33" s="26"/>
      <c r="AC33" s="25"/>
      <c r="AD33" s="23"/>
      <c r="AE33" s="23"/>
      <c r="AF33" s="16"/>
      <c r="AG33" s="2"/>
    </row>
    <row r="34" spans="1:33" ht="12.75" customHeight="1" x14ac:dyDescent="0.2">
      <c r="A34" s="88"/>
      <c r="B34" s="105"/>
      <c r="C34" s="105"/>
      <c r="D34" s="43"/>
      <c r="E34" s="53"/>
      <c r="F34" s="53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39">
        <f t="shared" si="0"/>
        <v>0</v>
      </c>
      <c r="Y34" s="16"/>
      <c r="Z34" s="16"/>
      <c r="AA34" s="20"/>
      <c r="AB34" s="26"/>
      <c r="AC34" s="25"/>
      <c r="AD34" s="23"/>
      <c r="AE34" s="23"/>
      <c r="AF34" s="16"/>
      <c r="AG34" s="2"/>
    </row>
    <row r="35" spans="1:33" x14ac:dyDescent="0.2">
      <c r="A35" s="88"/>
      <c r="B35" s="105"/>
      <c r="C35" s="105"/>
      <c r="D35" s="43"/>
      <c r="E35" s="53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40"/>
      <c r="W35" s="39">
        <f t="shared" si="0"/>
        <v>0</v>
      </c>
      <c r="Y35" s="16"/>
      <c r="Z35" s="16"/>
      <c r="AA35" s="20"/>
      <c r="AB35" s="26"/>
      <c r="AC35" s="24"/>
      <c r="AD35" s="23"/>
      <c r="AE35" s="23"/>
      <c r="AF35" s="16"/>
      <c r="AG35" s="2"/>
    </row>
    <row r="36" spans="1:33" x14ac:dyDescent="0.2">
      <c r="A36" s="88"/>
      <c r="B36" s="105"/>
      <c r="C36" s="105"/>
      <c r="D36" s="43"/>
      <c r="E36" s="53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40"/>
      <c r="W36" s="39">
        <f t="shared" si="0"/>
        <v>0</v>
      </c>
      <c r="Y36" s="16"/>
      <c r="Z36" s="16"/>
      <c r="AA36" s="20"/>
      <c r="AB36" s="26"/>
      <c r="AC36" s="24"/>
      <c r="AD36" s="23"/>
      <c r="AE36" s="23"/>
      <c r="AF36" s="16"/>
      <c r="AG36" s="2"/>
    </row>
    <row r="37" spans="1:33" ht="17.100000000000001" customHeight="1" thickBot="1" x14ac:dyDescent="0.35">
      <c r="A37" s="46"/>
      <c r="B37" s="41" t="str">
        <f>IF(A27="","",VLOOKUP(A27,SCHED,5))</f>
        <v/>
      </c>
      <c r="C37" s="101" t="str">
        <f>IF(A27="","",VLOOKUP(A27,SCHED,4))</f>
        <v/>
      </c>
      <c r="D37" s="41" t="str">
        <f>IF(A27="","",VLOOKUP(A27,SCHED,2))</f>
        <v/>
      </c>
      <c r="E37" s="41" t="str">
        <f>IF(A27="","",VLOOKUP(A27,SCHED,3))</f>
        <v/>
      </c>
      <c r="F37" s="86" t="str">
        <f>IF(A27="","",VLOOKUP(A27,SCHED,6))</f>
        <v/>
      </c>
      <c r="G37" s="89"/>
      <c r="H37" s="90"/>
      <c r="I37" s="90"/>
      <c r="J37" s="90"/>
      <c r="K37" s="91"/>
      <c r="L37" s="92"/>
      <c r="M37" s="92"/>
      <c r="N37" s="92"/>
      <c r="O37" s="89"/>
      <c r="Q37" s="90"/>
      <c r="R37" s="122" t="s">
        <v>14</v>
      </c>
      <c r="S37" s="122"/>
      <c r="T37" s="122"/>
      <c r="U37" s="122"/>
      <c r="V37" s="122"/>
      <c r="W37" s="102">
        <f>SUM(W10:W36)</f>
        <v>73</v>
      </c>
      <c r="Y37" s="16"/>
      <c r="Z37" s="16"/>
      <c r="AA37" s="20"/>
      <c r="AB37" s="26"/>
      <c r="AC37" s="25"/>
      <c r="AD37" s="23"/>
      <c r="AE37" s="23"/>
      <c r="AF37" s="16"/>
      <c r="AG37" s="2"/>
    </row>
    <row r="38" spans="1:33" x14ac:dyDescent="0.2">
      <c r="A38" s="46"/>
      <c r="B38" s="139" t="s">
        <v>16</v>
      </c>
      <c r="C38" s="139"/>
      <c r="D38" s="143" t="s">
        <v>18</v>
      </c>
      <c r="E38" s="144"/>
      <c r="F38" s="85">
        <v>26</v>
      </c>
      <c r="G38" s="85">
        <v>27</v>
      </c>
      <c r="H38" s="85">
        <v>28</v>
      </c>
      <c r="I38" s="85">
        <v>29</v>
      </c>
      <c r="J38" s="85">
        <v>30</v>
      </c>
      <c r="K38" s="85">
        <v>31</v>
      </c>
      <c r="L38" s="85">
        <v>1</v>
      </c>
      <c r="M38" s="85">
        <v>2</v>
      </c>
      <c r="N38" s="85">
        <v>3</v>
      </c>
      <c r="O38" s="85">
        <v>4</v>
      </c>
      <c r="P38" s="85">
        <v>5</v>
      </c>
      <c r="Q38" s="85">
        <v>6</v>
      </c>
      <c r="R38" s="85">
        <v>7</v>
      </c>
      <c r="S38" s="85">
        <v>8</v>
      </c>
      <c r="T38" s="85">
        <v>9</v>
      </c>
      <c r="U38" s="85">
        <v>10</v>
      </c>
      <c r="V38" s="40"/>
      <c r="W38" s="47"/>
      <c r="Y38" s="16"/>
      <c r="Z38" s="16"/>
      <c r="AA38" s="20"/>
      <c r="AB38" s="26"/>
      <c r="AC38" s="24"/>
      <c r="AD38" s="23"/>
      <c r="AE38" s="23"/>
      <c r="AF38" s="16"/>
      <c r="AG38" s="2"/>
    </row>
    <row r="39" spans="1:33" x14ac:dyDescent="0.2">
      <c r="A39" s="46"/>
      <c r="B39" s="79"/>
      <c r="C39" s="71"/>
      <c r="D39" s="44"/>
      <c r="E39" s="52"/>
      <c r="F39" s="68">
        <v>11</v>
      </c>
      <c r="G39" s="68">
        <v>12</v>
      </c>
      <c r="H39" s="68">
        <v>13</v>
      </c>
      <c r="I39" s="68">
        <v>14</v>
      </c>
      <c r="J39" s="68">
        <v>15</v>
      </c>
      <c r="K39" s="68">
        <v>16</v>
      </c>
      <c r="L39" s="69"/>
      <c r="M39" s="68">
        <v>17</v>
      </c>
      <c r="N39" s="68">
        <v>18</v>
      </c>
      <c r="O39" s="68">
        <v>19</v>
      </c>
      <c r="P39" s="68">
        <v>20</v>
      </c>
      <c r="Q39" s="68">
        <v>21</v>
      </c>
      <c r="R39" s="68">
        <v>22</v>
      </c>
      <c r="S39" s="68">
        <v>23</v>
      </c>
      <c r="T39" s="68">
        <v>24</v>
      </c>
      <c r="U39" s="68">
        <v>25</v>
      </c>
      <c r="V39" s="67"/>
      <c r="W39" s="47"/>
      <c r="Y39" s="16"/>
      <c r="Z39" s="16"/>
      <c r="AA39" s="20"/>
      <c r="AB39" s="26"/>
      <c r="AC39" s="24"/>
      <c r="AD39" s="23"/>
      <c r="AE39" s="23"/>
      <c r="AF39" s="16"/>
      <c r="AG39" s="2"/>
    </row>
    <row r="40" spans="1:33" x14ac:dyDescent="0.2">
      <c r="A40" s="46"/>
      <c r="B40" s="141" t="s">
        <v>36</v>
      </c>
      <c r="C40" s="142"/>
      <c r="D40" s="78"/>
      <c r="E40" s="80"/>
      <c r="F40" s="109">
        <v>5</v>
      </c>
      <c r="G40" s="40">
        <v>8</v>
      </c>
      <c r="H40" s="40"/>
      <c r="I40" s="40"/>
      <c r="J40" s="40"/>
      <c r="K40" s="40">
        <v>3.5</v>
      </c>
      <c r="L40" s="40"/>
      <c r="M40" s="40"/>
      <c r="N40" s="40">
        <v>2.5</v>
      </c>
      <c r="O40" s="40"/>
      <c r="P40" s="40"/>
      <c r="Q40" s="40">
        <v>1</v>
      </c>
      <c r="R40" s="40">
        <v>4</v>
      </c>
      <c r="S40" s="40"/>
      <c r="T40" s="40">
        <v>5</v>
      </c>
      <c r="U40" s="40">
        <v>3</v>
      </c>
      <c r="V40" s="67"/>
      <c r="W40" s="47">
        <f>SUM(F40:U40)</f>
        <v>32</v>
      </c>
      <c r="Y40" s="16"/>
      <c r="Z40" s="16"/>
      <c r="AA40" s="20"/>
      <c r="AB40" s="26"/>
      <c r="AC40" s="24"/>
      <c r="AD40" s="23"/>
      <c r="AE40" s="23"/>
      <c r="AF40" s="16"/>
      <c r="AG40" s="2"/>
    </row>
    <row r="41" spans="1:33" ht="15" x14ac:dyDescent="0.2">
      <c r="A41" s="46"/>
      <c r="D41" s="55"/>
      <c r="E41" s="56"/>
      <c r="F41" s="109"/>
      <c r="G41" s="40"/>
      <c r="H41" s="75"/>
      <c r="I41" s="40"/>
      <c r="J41" s="40"/>
      <c r="K41" s="40"/>
      <c r="L41" s="40"/>
      <c r="M41" s="40"/>
      <c r="N41" s="40"/>
      <c r="O41" s="40"/>
      <c r="P41" s="40"/>
      <c r="Q41" s="40"/>
      <c r="R41" s="107"/>
      <c r="S41" s="40"/>
      <c r="T41" s="40"/>
      <c r="U41" s="40"/>
      <c r="V41" s="66"/>
      <c r="W41" s="47"/>
      <c r="Y41" s="16"/>
      <c r="Z41" s="16"/>
      <c r="AA41" s="20" t="s">
        <v>94</v>
      </c>
      <c r="AB41" s="23"/>
      <c r="AC41" s="27"/>
      <c r="AD41" s="28"/>
      <c r="AE41" s="23"/>
      <c r="AF41" s="16"/>
      <c r="AG41" s="2"/>
    </row>
    <row r="42" spans="1:33" ht="18" x14ac:dyDescent="0.25">
      <c r="A42" s="46"/>
      <c r="B42" s="158"/>
      <c r="C42" s="159"/>
      <c r="D42" s="41"/>
      <c r="E42" s="42"/>
      <c r="F42" s="42"/>
      <c r="G42" s="38"/>
      <c r="H42" s="75"/>
      <c r="I42" s="38"/>
      <c r="J42" s="38"/>
      <c r="K42" s="38"/>
      <c r="L42" s="38"/>
      <c r="M42" s="38"/>
      <c r="N42" s="38"/>
      <c r="O42" s="38"/>
      <c r="P42" s="38"/>
      <c r="Q42" s="38"/>
      <c r="R42" s="150" t="s">
        <v>15</v>
      </c>
      <c r="S42" s="150"/>
      <c r="T42" s="150"/>
      <c r="U42" s="150"/>
      <c r="V42" s="150"/>
      <c r="W42" s="119"/>
      <c r="X42" s="3"/>
      <c r="Y42" s="20"/>
      <c r="Z42" s="16"/>
      <c r="AA42" s="20"/>
      <c r="AB42" s="151"/>
      <c r="AC42" s="151"/>
      <c r="AD42" s="151"/>
      <c r="AE42" s="151"/>
      <c r="AF42" s="151"/>
      <c r="AG42" s="2"/>
    </row>
    <row r="43" spans="1:33" ht="18" customHeight="1" thickBot="1" x14ac:dyDescent="0.35">
      <c r="A43" s="48"/>
      <c r="B43" s="152" t="s">
        <v>3</v>
      </c>
      <c r="C43" s="152"/>
      <c r="D43" s="152"/>
      <c r="E43" s="152"/>
      <c r="F43" s="152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77">
        <f>SUM(W40:W41)</f>
        <v>32</v>
      </c>
      <c r="X43" s="4"/>
      <c r="Y43" s="5"/>
      <c r="AA43" s="2"/>
      <c r="AB43" s="2"/>
      <c r="AC43" s="2"/>
      <c r="AD43" s="2"/>
      <c r="AE43" s="2"/>
      <c r="AF43" s="2"/>
      <c r="AG43" s="2"/>
    </row>
    <row r="44" spans="1:33" ht="18" customHeight="1" x14ac:dyDescent="0.25">
      <c r="A44" s="2"/>
      <c r="B44" s="29"/>
      <c r="C44" s="29"/>
      <c r="D44" s="29"/>
      <c r="E44" s="29"/>
      <c r="F44" s="29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1"/>
      <c r="X44" s="4"/>
      <c r="Y44" s="5"/>
      <c r="AA44" s="2"/>
      <c r="AB44" s="2"/>
      <c r="AC44" s="2"/>
      <c r="AD44" s="2"/>
      <c r="AE44" s="2"/>
      <c r="AF44" s="2"/>
      <c r="AG44" s="2"/>
    </row>
    <row r="45" spans="1:33" x14ac:dyDescent="0.2">
      <c r="V45" s="74"/>
      <c r="X45" s="6"/>
      <c r="Z45" s="3"/>
      <c r="AA45" s="2"/>
      <c r="AB45" s="2"/>
      <c r="AC45" s="2"/>
      <c r="AD45" s="2"/>
      <c r="AE45" s="2"/>
      <c r="AF45" s="2"/>
      <c r="AG45" s="2"/>
    </row>
    <row r="46" spans="1:33" x14ac:dyDescent="0.2">
      <c r="B46" s="153" t="s">
        <v>20</v>
      </c>
      <c r="C46" s="155" t="s">
        <v>21</v>
      </c>
      <c r="D46" s="156"/>
      <c r="E46" s="157" t="s">
        <v>22</v>
      </c>
      <c r="F46" s="157"/>
      <c r="G46" s="157"/>
      <c r="X46" s="6"/>
      <c r="Z46" s="3"/>
      <c r="AA46" s="2"/>
      <c r="AB46" s="2"/>
      <c r="AC46" s="2"/>
      <c r="AD46" s="2"/>
      <c r="AE46" s="2"/>
      <c r="AF46" s="2"/>
      <c r="AG46" s="2"/>
    </row>
    <row r="47" spans="1:33" x14ac:dyDescent="0.2">
      <c r="B47" s="154"/>
      <c r="C47" s="158"/>
      <c r="D47" s="159"/>
      <c r="E47" s="160"/>
      <c r="F47" s="160"/>
      <c r="G47" s="160"/>
      <c r="X47" s="6"/>
      <c r="Z47" s="3"/>
      <c r="AA47" s="2"/>
      <c r="AB47" s="2"/>
      <c r="AC47" s="2"/>
      <c r="AD47" s="2"/>
      <c r="AE47" s="2"/>
      <c r="AF47" s="2"/>
      <c r="AG47" s="2"/>
    </row>
    <row r="48" spans="1:33" x14ac:dyDescent="0.2">
      <c r="C48" s="7"/>
      <c r="Q48" s="30"/>
      <c r="R48" s="8"/>
      <c r="T48" s="9"/>
    </row>
    <row r="50" spans="3:23" ht="15" x14ac:dyDescent="0.25">
      <c r="C50" s="62" t="s">
        <v>4</v>
      </c>
      <c r="F50" s="2"/>
      <c r="H50" s="63" t="s">
        <v>19</v>
      </c>
      <c r="I50" s="63"/>
      <c r="J50" s="2"/>
      <c r="K50" s="2"/>
      <c r="L50" s="2"/>
      <c r="N50" s="2"/>
      <c r="O50" s="2"/>
      <c r="P50" s="2"/>
      <c r="R50" s="62" t="s">
        <v>5</v>
      </c>
      <c r="S50" s="62"/>
    </row>
    <row r="51" spans="3:23" x14ac:dyDescent="0.2"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3:23" x14ac:dyDescent="0.2">
      <c r="C52" s="162"/>
      <c r="D52" s="162"/>
      <c r="E52" s="162"/>
      <c r="F52" s="32"/>
      <c r="G52" s="2"/>
      <c r="J52" s="33"/>
      <c r="K52" s="33"/>
      <c r="L52" s="33"/>
      <c r="M52" s="33"/>
      <c r="N52" s="33"/>
      <c r="O52" s="33"/>
      <c r="T52" s="72"/>
      <c r="U52" s="72"/>
      <c r="V52" s="72"/>
      <c r="W52" s="33"/>
    </row>
    <row r="53" spans="3:23" ht="0.75" customHeight="1" x14ac:dyDescent="0.2">
      <c r="C53" s="163"/>
      <c r="D53" s="163"/>
      <c r="E53" s="163"/>
      <c r="F53" s="163"/>
      <c r="G53" s="10"/>
      <c r="J53" s="164" t="s">
        <v>6</v>
      </c>
      <c r="K53" s="164"/>
      <c r="L53" s="164"/>
      <c r="M53" s="164"/>
      <c r="N53" s="164"/>
      <c r="O53" s="164"/>
      <c r="P53" s="34"/>
      <c r="Q53" s="34"/>
      <c r="R53" s="34"/>
      <c r="S53" s="35"/>
      <c r="T53" s="164"/>
      <c r="U53" s="164"/>
      <c r="V53" s="164"/>
    </row>
    <row r="54" spans="3:23" ht="15" x14ac:dyDescent="0.25">
      <c r="C54" s="165" t="s">
        <v>24</v>
      </c>
      <c r="D54" s="165"/>
      <c r="E54" s="165"/>
      <c r="F54" s="165"/>
      <c r="G54" s="13"/>
      <c r="J54" s="165" t="s">
        <v>25</v>
      </c>
      <c r="K54" s="165"/>
      <c r="L54" s="165"/>
      <c r="M54" s="165"/>
      <c r="N54" s="165"/>
      <c r="O54" s="165"/>
      <c r="P54" s="11"/>
      <c r="Q54" s="11"/>
      <c r="R54" s="11"/>
      <c r="T54" s="73" t="s">
        <v>26</v>
      </c>
      <c r="U54" s="73"/>
      <c r="V54" s="73"/>
    </row>
    <row r="55" spans="3:23" x14ac:dyDescent="0.2">
      <c r="F55" s="2"/>
      <c r="G55" s="2"/>
      <c r="H55" s="2"/>
    </row>
    <row r="56" spans="3:23" x14ac:dyDescent="0.2">
      <c r="F56" s="2"/>
      <c r="G56" s="2"/>
      <c r="H56" s="2"/>
      <c r="I56" s="2"/>
      <c r="J56" s="2"/>
    </row>
    <row r="59" spans="3:23" x14ac:dyDescent="0.2">
      <c r="C59" s="2"/>
      <c r="D59" s="2"/>
      <c r="E59" s="2"/>
      <c r="F59" s="2"/>
      <c r="G59" s="2"/>
      <c r="H59" s="2"/>
    </row>
    <row r="60" spans="3:23" x14ac:dyDescent="0.2">
      <c r="C60" s="2"/>
      <c r="D60" s="2"/>
      <c r="E60" s="2"/>
      <c r="F60" s="2"/>
      <c r="G60" s="2"/>
      <c r="H60" s="2"/>
    </row>
    <row r="61" spans="3:23" x14ac:dyDescent="0.2">
      <c r="C61" s="161"/>
      <c r="D61" s="161"/>
      <c r="E61" s="161"/>
      <c r="F61" s="161"/>
      <c r="G61" s="161"/>
      <c r="H61" s="2"/>
    </row>
    <row r="62" spans="3:23" x14ac:dyDescent="0.2">
      <c r="C62" s="161"/>
      <c r="D62" s="161"/>
      <c r="E62" s="161"/>
      <c r="F62" s="161"/>
      <c r="G62" s="161"/>
      <c r="H62" s="2"/>
    </row>
    <row r="63" spans="3:23" x14ac:dyDescent="0.2">
      <c r="C63" s="31"/>
      <c r="D63" s="31"/>
      <c r="E63" s="31"/>
      <c r="F63" s="31"/>
      <c r="G63" s="31"/>
      <c r="H63" s="2"/>
    </row>
    <row r="64" spans="3:23" x14ac:dyDescent="0.2">
      <c r="C64" s="16"/>
      <c r="D64" s="31"/>
      <c r="E64" s="36"/>
      <c r="F64" s="36"/>
      <c r="G64" s="36"/>
      <c r="H64" s="2"/>
    </row>
    <row r="65" spans="3:8" x14ac:dyDescent="0.2">
      <c r="C65" s="16"/>
      <c r="D65" s="31"/>
      <c r="E65" s="36"/>
      <c r="F65" s="36"/>
      <c r="G65" s="36"/>
      <c r="H65" s="2"/>
    </row>
    <row r="66" spans="3:8" x14ac:dyDescent="0.2">
      <c r="C66" s="16"/>
      <c r="D66" s="31"/>
      <c r="E66" s="36"/>
      <c r="F66" s="36"/>
      <c r="G66" s="36"/>
      <c r="H66" s="2"/>
    </row>
    <row r="67" spans="3:8" x14ac:dyDescent="0.2">
      <c r="C67" s="16"/>
      <c r="D67" s="31"/>
      <c r="E67" s="36"/>
      <c r="F67" s="36"/>
      <c r="G67" s="36"/>
      <c r="H67" s="2"/>
    </row>
    <row r="68" spans="3:8" x14ac:dyDescent="0.2">
      <c r="C68" s="16"/>
      <c r="D68" s="31"/>
      <c r="E68" s="36"/>
      <c r="F68" s="36"/>
      <c r="G68" s="36"/>
      <c r="H68" s="2"/>
    </row>
    <row r="69" spans="3:8" x14ac:dyDescent="0.2">
      <c r="C69" s="16"/>
      <c r="D69" s="31"/>
      <c r="E69" s="36"/>
      <c r="F69" s="36"/>
      <c r="G69" s="36"/>
      <c r="H69" s="2"/>
    </row>
    <row r="70" spans="3:8" x14ac:dyDescent="0.2">
      <c r="C70" s="16"/>
      <c r="D70" s="31"/>
      <c r="E70" s="36"/>
      <c r="F70" s="36"/>
      <c r="G70" s="36"/>
      <c r="H70" s="2"/>
    </row>
    <row r="71" spans="3:8" x14ac:dyDescent="0.2">
      <c r="C71" s="16"/>
      <c r="D71" s="31"/>
      <c r="E71" s="36"/>
      <c r="F71" s="36"/>
      <c r="G71" s="36"/>
      <c r="H71" s="2"/>
    </row>
    <row r="72" spans="3:8" x14ac:dyDescent="0.2">
      <c r="C72" s="16"/>
      <c r="D72" s="31"/>
      <c r="E72" s="36"/>
      <c r="F72" s="36"/>
      <c r="G72" s="36"/>
      <c r="H72" s="2"/>
    </row>
    <row r="73" spans="3:8" x14ac:dyDescent="0.2">
      <c r="C73" s="16"/>
      <c r="D73" s="31"/>
      <c r="E73" s="36"/>
      <c r="F73" s="36"/>
      <c r="G73" s="36"/>
      <c r="H73" s="2"/>
    </row>
    <row r="74" spans="3:8" x14ac:dyDescent="0.2">
      <c r="C74" s="16"/>
      <c r="D74" s="31"/>
      <c r="E74" s="36"/>
      <c r="F74" s="36"/>
      <c r="G74" s="36"/>
      <c r="H74" s="2"/>
    </row>
    <row r="75" spans="3:8" x14ac:dyDescent="0.2">
      <c r="C75" s="16"/>
      <c r="D75" s="31"/>
      <c r="E75" s="36"/>
      <c r="F75" s="36"/>
      <c r="G75" s="36"/>
      <c r="H75" s="2"/>
    </row>
    <row r="76" spans="3:8" x14ac:dyDescent="0.2">
      <c r="C76" s="16"/>
      <c r="D76" s="31"/>
      <c r="E76" s="36"/>
      <c r="F76" s="36"/>
      <c r="G76" s="36"/>
      <c r="H76" s="2"/>
    </row>
    <row r="77" spans="3:8" x14ac:dyDescent="0.2">
      <c r="C77" s="16"/>
      <c r="D77" s="31"/>
      <c r="E77" s="36"/>
      <c r="F77" s="36"/>
      <c r="G77" s="36"/>
      <c r="H77" s="2"/>
    </row>
    <row r="78" spans="3:8" x14ac:dyDescent="0.2">
      <c r="C78" s="16"/>
      <c r="D78" s="31"/>
      <c r="E78" s="36"/>
      <c r="F78" s="36"/>
      <c r="G78" s="36"/>
      <c r="H78" s="2"/>
    </row>
    <row r="79" spans="3:8" ht="15.75" x14ac:dyDescent="0.25">
      <c r="C79" s="29"/>
      <c r="D79" s="29"/>
      <c r="E79" s="29"/>
      <c r="F79" s="29"/>
      <c r="G79" s="37"/>
      <c r="H79" s="2"/>
    </row>
    <row r="80" spans="3:8" x14ac:dyDescent="0.2">
      <c r="C80" s="31"/>
      <c r="D80" s="31"/>
      <c r="E80" s="31"/>
      <c r="F80" s="31"/>
      <c r="G80" s="31"/>
      <c r="H80" s="2"/>
    </row>
    <row r="81" spans="3:8" x14ac:dyDescent="0.2">
      <c r="C81" s="31"/>
      <c r="D81" s="31"/>
      <c r="E81" s="31"/>
      <c r="F81" s="31"/>
      <c r="G81" s="31"/>
      <c r="H81" s="2"/>
    </row>
    <row r="82" spans="3:8" x14ac:dyDescent="0.2">
      <c r="C82" s="16"/>
      <c r="D82" s="31"/>
      <c r="E82" s="31"/>
      <c r="F82" s="31"/>
      <c r="G82" s="31"/>
      <c r="H82" s="2"/>
    </row>
    <row r="83" spans="3:8" x14ac:dyDescent="0.2">
      <c r="C83" s="16"/>
      <c r="D83" s="31"/>
      <c r="E83" s="31"/>
      <c r="F83" s="31"/>
      <c r="G83" s="31"/>
      <c r="H83" s="2"/>
    </row>
    <row r="84" spans="3:8" x14ac:dyDescent="0.2">
      <c r="C84" s="16"/>
      <c r="D84" s="31"/>
      <c r="E84" s="31"/>
      <c r="F84" s="31"/>
      <c r="G84" s="31"/>
      <c r="H84" s="2"/>
    </row>
    <row r="85" spans="3:8" x14ac:dyDescent="0.2">
      <c r="C85" s="16"/>
      <c r="D85" s="31"/>
      <c r="E85" s="31"/>
      <c r="F85" s="31"/>
      <c r="G85" s="31"/>
      <c r="H85" s="2"/>
    </row>
    <row r="86" spans="3:8" x14ac:dyDescent="0.2">
      <c r="C86" s="16"/>
      <c r="D86" s="31"/>
      <c r="E86" s="31"/>
      <c r="F86" s="31"/>
      <c r="G86" s="31"/>
      <c r="H86" s="2"/>
    </row>
    <row r="87" spans="3:8" x14ac:dyDescent="0.2">
      <c r="C87" s="16"/>
      <c r="D87" s="31"/>
      <c r="E87" s="31"/>
      <c r="F87" s="31"/>
      <c r="G87" s="31"/>
      <c r="H87" s="2"/>
    </row>
    <row r="88" spans="3:8" x14ac:dyDescent="0.2">
      <c r="C88" s="16"/>
      <c r="D88" s="31"/>
      <c r="E88" s="31"/>
      <c r="F88" s="31"/>
      <c r="G88" s="31"/>
      <c r="H88" s="2"/>
    </row>
    <row r="89" spans="3:8" x14ac:dyDescent="0.2">
      <c r="C89" s="16"/>
      <c r="D89" s="31"/>
      <c r="E89" s="31"/>
      <c r="F89" s="31"/>
      <c r="G89" s="31"/>
      <c r="H89" s="2"/>
    </row>
    <row r="90" spans="3:8" x14ac:dyDescent="0.2">
      <c r="C90" s="16"/>
      <c r="D90" s="31"/>
      <c r="E90" s="31"/>
      <c r="F90" s="31"/>
      <c r="G90" s="31"/>
      <c r="H90" s="2"/>
    </row>
    <row r="91" spans="3:8" x14ac:dyDescent="0.2">
      <c r="C91" s="16"/>
      <c r="D91" s="31"/>
      <c r="E91" s="31"/>
      <c r="F91" s="31"/>
      <c r="G91" s="31"/>
      <c r="H91" s="2"/>
    </row>
    <row r="92" spans="3:8" x14ac:dyDescent="0.2">
      <c r="C92" s="16"/>
      <c r="D92" s="31"/>
      <c r="E92" s="31"/>
      <c r="F92" s="31"/>
      <c r="G92" s="31"/>
      <c r="H92" s="2"/>
    </row>
    <row r="93" spans="3:8" x14ac:dyDescent="0.2">
      <c r="C93" s="16"/>
      <c r="D93" s="31"/>
      <c r="E93" s="31"/>
      <c r="F93" s="31"/>
      <c r="G93" s="31"/>
      <c r="H93" s="2"/>
    </row>
    <row r="94" spans="3:8" x14ac:dyDescent="0.2">
      <c r="C94" s="16"/>
      <c r="D94" s="31"/>
      <c r="E94" s="31"/>
      <c r="F94" s="31"/>
      <c r="G94" s="31"/>
      <c r="H94" s="2"/>
    </row>
    <row r="95" spans="3:8" x14ac:dyDescent="0.2">
      <c r="C95" s="16"/>
      <c r="D95" s="31"/>
      <c r="E95" s="31"/>
      <c r="F95" s="31"/>
      <c r="G95" s="31"/>
      <c r="H95" s="2"/>
    </row>
    <row r="96" spans="3:8" x14ac:dyDescent="0.2">
      <c r="C96" s="16"/>
      <c r="D96" s="31"/>
      <c r="E96" s="31"/>
      <c r="F96" s="31"/>
      <c r="G96" s="31"/>
      <c r="H96" s="2"/>
    </row>
    <row r="97" spans="3:8" ht="15.75" x14ac:dyDescent="0.25">
      <c r="C97" s="29"/>
      <c r="D97" s="29"/>
      <c r="E97" s="29"/>
      <c r="F97" s="29"/>
      <c r="G97" s="29"/>
      <c r="H97" s="2"/>
    </row>
    <row r="98" spans="3:8" x14ac:dyDescent="0.2">
      <c r="C98" s="2"/>
      <c r="D98" s="2"/>
      <c r="E98" s="2"/>
      <c r="F98" s="2"/>
      <c r="G98" s="2"/>
      <c r="H98" s="2"/>
    </row>
    <row r="99" spans="3:8" x14ac:dyDescent="0.2">
      <c r="C99" s="2"/>
      <c r="D99" s="2"/>
      <c r="E99" s="2"/>
      <c r="F99" s="2"/>
      <c r="G99" s="2"/>
      <c r="H99" s="2"/>
    </row>
    <row r="100" spans="3:8" x14ac:dyDescent="0.2">
      <c r="C100" s="2"/>
      <c r="D100" s="2"/>
      <c r="E100" s="2"/>
      <c r="F100" s="2"/>
      <c r="G100" s="2"/>
      <c r="H100" s="2"/>
    </row>
    <row r="101" spans="3:8" x14ac:dyDescent="0.2">
      <c r="C101" s="2"/>
      <c r="D101" s="2"/>
      <c r="E101" s="2"/>
      <c r="F101" s="2"/>
      <c r="G101" s="2"/>
      <c r="H101" s="2"/>
    </row>
    <row r="102" spans="3:8" x14ac:dyDescent="0.2">
      <c r="C102" s="2"/>
      <c r="D102" s="2"/>
      <c r="E102" s="2"/>
      <c r="F102" s="2"/>
      <c r="G102" s="2"/>
      <c r="H102" s="2"/>
    </row>
    <row r="103" spans="3:8" x14ac:dyDescent="0.2">
      <c r="C103" s="2"/>
      <c r="D103" s="2"/>
      <c r="E103" s="2"/>
      <c r="F103" s="2"/>
      <c r="G103" s="2"/>
      <c r="H103" s="2"/>
    </row>
    <row r="104" spans="3:8" x14ac:dyDescent="0.2">
      <c r="C104" s="2"/>
      <c r="D104" s="2"/>
      <c r="E104" s="2"/>
      <c r="F104" s="2"/>
      <c r="G104" s="2"/>
      <c r="H104" s="2"/>
    </row>
    <row r="105" spans="3:8" x14ac:dyDescent="0.2">
      <c r="C105" s="2"/>
      <c r="D105" s="2"/>
      <c r="E105" s="2"/>
      <c r="F105" s="2"/>
      <c r="G105" s="2"/>
      <c r="H105" s="2"/>
    </row>
    <row r="106" spans="3:8" x14ac:dyDescent="0.2">
      <c r="C106" s="2"/>
      <c r="D106" s="2"/>
      <c r="E106" s="2"/>
      <c r="F106" s="2"/>
      <c r="G106" s="2"/>
      <c r="H106" s="2"/>
    </row>
    <row r="107" spans="3:8" x14ac:dyDescent="0.2">
      <c r="C107" s="2"/>
      <c r="D107" s="2"/>
      <c r="E107" s="2"/>
      <c r="F107" s="2"/>
      <c r="G107" s="2"/>
      <c r="H107" s="2"/>
    </row>
    <row r="108" spans="3:8" x14ac:dyDescent="0.2">
      <c r="C108" s="2"/>
      <c r="D108" s="2"/>
      <c r="E108" s="2"/>
      <c r="F108" s="2"/>
      <c r="G108" s="2"/>
      <c r="H108" s="2"/>
    </row>
    <row r="109" spans="3:8" x14ac:dyDescent="0.2">
      <c r="C109" s="2"/>
      <c r="D109" s="2"/>
      <c r="E109" s="2"/>
      <c r="F109" s="2"/>
      <c r="G109" s="2"/>
      <c r="H109" s="2"/>
    </row>
    <row r="110" spans="3:8" x14ac:dyDescent="0.2">
      <c r="C110" s="2"/>
      <c r="D110" s="2"/>
      <c r="E110" s="2"/>
      <c r="F110" s="2"/>
      <c r="G110" s="2"/>
      <c r="H110" s="2"/>
    </row>
    <row r="111" spans="3:8" x14ac:dyDescent="0.2">
      <c r="C111" s="2"/>
      <c r="D111" s="2"/>
      <c r="E111" s="2"/>
      <c r="F111" s="2"/>
      <c r="G111" s="2"/>
      <c r="H111" s="2"/>
    </row>
    <row r="112" spans="3:8" x14ac:dyDescent="0.2">
      <c r="C112" s="2"/>
      <c r="D112" s="2"/>
      <c r="E112" s="2"/>
      <c r="F112" s="2"/>
      <c r="G112" s="2"/>
      <c r="H112" s="2"/>
    </row>
    <row r="113" spans="3:8" x14ac:dyDescent="0.2">
      <c r="C113" s="2"/>
      <c r="D113" s="2"/>
      <c r="E113" s="2"/>
      <c r="F113" s="2"/>
      <c r="G113" s="2"/>
      <c r="H113" s="2"/>
    </row>
    <row r="114" spans="3:8" x14ac:dyDescent="0.2">
      <c r="C114" s="2"/>
      <c r="D114" s="2"/>
      <c r="E114" s="2"/>
      <c r="F114" s="2"/>
      <c r="G114" s="2"/>
      <c r="H114" s="2"/>
    </row>
    <row r="115" spans="3:8" x14ac:dyDescent="0.2">
      <c r="C115" s="2"/>
      <c r="D115" s="2"/>
      <c r="E115" s="2"/>
      <c r="F115" s="2"/>
      <c r="G115" s="2"/>
      <c r="H115" s="2"/>
    </row>
    <row r="116" spans="3:8" x14ac:dyDescent="0.2">
      <c r="C116" s="2"/>
      <c r="D116" s="2"/>
      <c r="E116" s="2"/>
      <c r="F116" s="2"/>
      <c r="G116" s="2"/>
      <c r="H116" s="2"/>
    </row>
    <row r="117" spans="3:8" x14ac:dyDescent="0.2">
      <c r="C117" s="2"/>
      <c r="D117" s="2"/>
      <c r="E117" s="2"/>
      <c r="F117" s="2"/>
      <c r="G117" s="2"/>
      <c r="H117" s="2"/>
    </row>
    <row r="118" spans="3:8" x14ac:dyDescent="0.2">
      <c r="C118" s="2"/>
      <c r="D118" s="2"/>
      <c r="E118" s="2"/>
      <c r="F118" s="2"/>
      <c r="G118" s="2"/>
      <c r="H118" s="2"/>
    </row>
    <row r="119" spans="3:8" x14ac:dyDescent="0.2">
      <c r="C119" s="2"/>
      <c r="D119" s="2"/>
      <c r="E119" s="2"/>
      <c r="F119" s="2"/>
      <c r="G119" s="2"/>
      <c r="H119" s="2"/>
    </row>
    <row r="120" spans="3:8" x14ac:dyDescent="0.2">
      <c r="C120" s="2"/>
      <c r="D120" s="2"/>
      <c r="E120" s="2"/>
      <c r="F120" s="2"/>
      <c r="G120" s="2"/>
      <c r="H120" s="2"/>
    </row>
    <row r="121" spans="3:8" x14ac:dyDescent="0.2">
      <c r="C121" s="2"/>
      <c r="D121" s="2"/>
      <c r="E121" s="2"/>
      <c r="F121" s="2"/>
      <c r="G121" s="2"/>
      <c r="H121" s="2"/>
    </row>
    <row r="122" spans="3:8" x14ac:dyDescent="0.2">
      <c r="C122" s="2"/>
      <c r="D122" s="2"/>
      <c r="E122" s="2"/>
      <c r="F122" s="2"/>
      <c r="G122" s="2"/>
      <c r="H122" s="2"/>
    </row>
    <row r="123" spans="3:8" x14ac:dyDescent="0.2">
      <c r="C123" s="2"/>
      <c r="D123" s="2"/>
      <c r="E123" s="2"/>
      <c r="F123" s="2"/>
      <c r="G123" s="2"/>
      <c r="H123" s="2"/>
    </row>
    <row r="124" spans="3:8" x14ac:dyDescent="0.2">
      <c r="C124" s="2"/>
      <c r="D124" s="2"/>
      <c r="E124" s="2"/>
      <c r="F124" s="2"/>
      <c r="G124" s="2"/>
      <c r="H124" s="2"/>
    </row>
    <row r="125" spans="3:8" x14ac:dyDescent="0.2">
      <c r="C125" s="2"/>
      <c r="D125" s="2"/>
      <c r="E125" s="2"/>
      <c r="F125" s="2"/>
      <c r="G125" s="2"/>
      <c r="H125" s="2"/>
    </row>
    <row r="126" spans="3:8" x14ac:dyDescent="0.2">
      <c r="C126" s="2"/>
      <c r="D126" s="2"/>
      <c r="E126" s="2"/>
      <c r="F126" s="2"/>
      <c r="G126" s="2"/>
      <c r="H126" s="2"/>
    </row>
    <row r="127" spans="3:8" x14ac:dyDescent="0.2">
      <c r="C127" s="2"/>
      <c r="D127" s="2"/>
      <c r="E127" s="2"/>
      <c r="F127" s="2"/>
      <c r="G127" s="2"/>
      <c r="H127" s="2"/>
    </row>
    <row r="128" spans="3:8" x14ac:dyDescent="0.2">
      <c r="C128" s="2"/>
      <c r="D128" s="2"/>
      <c r="E128" s="2"/>
      <c r="F128" s="2"/>
      <c r="G128" s="2"/>
      <c r="H128" s="2"/>
    </row>
    <row r="129" spans="3:8" x14ac:dyDescent="0.2">
      <c r="C129" s="2"/>
      <c r="D129" s="2"/>
      <c r="E129" s="2"/>
      <c r="F129" s="2"/>
      <c r="G129" s="2"/>
      <c r="H129" s="2"/>
    </row>
    <row r="130" spans="3:8" x14ac:dyDescent="0.2">
      <c r="C130" s="2"/>
      <c r="D130" s="2"/>
      <c r="E130" s="2"/>
      <c r="F130" s="2"/>
      <c r="G130" s="2"/>
      <c r="H130" s="2"/>
    </row>
    <row r="131" spans="3:8" x14ac:dyDescent="0.2">
      <c r="C131" s="2"/>
      <c r="D131" s="2"/>
      <c r="E131" s="2"/>
      <c r="F131" s="2"/>
      <c r="G131" s="2"/>
      <c r="H131" s="2"/>
    </row>
    <row r="132" spans="3:8" x14ac:dyDescent="0.2">
      <c r="C132" s="2"/>
      <c r="D132" s="2"/>
      <c r="E132" s="2"/>
      <c r="F132" s="2"/>
      <c r="G132" s="2"/>
      <c r="H132" s="2"/>
    </row>
    <row r="133" spans="3:8" x14ac:dyDescent="0.2">
      <c r="C133" s="2"/>
      <c r="D133" s="2"/>
      <c r="E133" s="2"/>
      <c r="F133" s="2"/>
      <c r="G133" s="2"/>
      <c r="H133" s="2"/>
    </row>
    <row r="134" spans="3:8" x14ac:dyDescent="0.2">
      <c r="C134" s="2"/>
      <c r="D134" s="2"/>
      <c r="E134" s="2"/>
      <c r="F134" s="2"/>
      <c r="G134" s="2"/>
      <c r="H134" s="2"/>
    </row>
    <row r="135" spans="3:8" x14ac:dyDescent="0.2">
      <c r="C135" s="2"/>
      <c r="D135" s="2"/>
      <c r="E135" s="2"/>
      <c r="F135" s="2"/>
      <c r="G135" s="2"/>
      <c r="H135" s="2"/>
    </row>
    <row r="136" spans="3:8" x14ac:dyDescent="0.2">
      <c r="C136" s="2"/>
      <c r="D136" s="2"/>
      <c r="E136" s="2"/>
      <c r="F136" s="2"/>
      <c r="G136" s="2"/>
      <c r="H136" s="2"/>
    </row>
    <row r="137" spans="3:8" x14ac:dyDescent="0.2">
      <c r="C137" s="2"/>
      <c r="D137" s="2"/>
      <c r="E137" s="2"/>
      <c r="F137" s="2"/>
      <c r="G137" s="2"/>
      <c r="H137" s="2"/>
    </row>
    <row r="138" spans="3:8" x14ac:dyDescent="0.2">
      <c r="C138" s="2"/>
      <c r="D138" s="2"/>
      <c r="E138" s="2"/>
      <c r="F138" s="2"/>
      <c r="G138" s="2"/>
      <c r="H138" s="2"/>
    </row>
    <row r="139" spans="3:8" x14ac:dyDescent="0.2">
      <c r="C139" s="2"/>
      <c r="D139" s="2"/>
      <c r="E139" s="2"/>
      <c r="F139" s="2"/>
      <c r="G139" s="2"/>
      <c r="H139" s="2"/>
    </row>
    <row r="140" spans="3:8" x14ac:dyDescent="0.2">
      <c r="C140" s="2"/>
      <c r="D140" s="2"/>
      <c r="E140" s="2"/>
      <c r="F140" s="2"/>
      <c r="G140" s="2"/>
      <c r="H140" s="2"/>
    </row>
    <row r="141" spans="3:8" x14ac:dyDescent="0.2">
      <c r="C141" s="2"/>
      <c r="D141" s="2"/>
      <c r="E141" s="2"/>
      <c r="F141" s="2"/>
      <c r="G141" s="2"/>
      <c r="H141" s="2"/>
    </row>
    <row r="142" spans="3:8" x14ac:dyDescent="0.2">
      <c r="C142" s="2"/>
      <c r="D142" s="2"/>
      <c r="E142" s="2"/>
      <c r="F142" s="2"/>
      <c r="G142" s="2"/>
      <c r="H142" s="2"/>
    </row>
    <row r="143" spans="3:8" x14ac:dyDescent="0.2">
      <c r="C143" s="2"/>
      <c r="D143" s="2"/>
      <c r="E143" s="2"/>
      <c r="F143" s="2"/>
      <c r="G143" s="2"/>
      <c r="H143" s="2"/>
    </row>
    <row r="144" spans="3:8" x14ac:dyDescent="0.2">
      <c r="C144" s="2"/>
      <c r="D144" s="2"/>
      <c r="E144" s="2"/>
      <c r="F144" s="2"/>
      <c r="G144" s="2"/>
      <c r="H144" s="2"/>
    </row>
    <row r="145" spans="3:8" x14ac:dyDescent="0.2">
      <c r="C145" s="2"/>
      <c r="D145" s="2"/>
      <c r="E145" s="2"/>
      <c r="F145" s="2"/>
      <c r="G145" s="2"/>
      <c r="H145" s="2"/>
    </row>
    <row r="146" spans="3:8" x14ac:dyDescent="0.2">
      <c r="C146" s="2"/>
      <c r="D146" s="2"/>
      <c r="E146" s="2"/>
      <c r="F146" s="2"/>
      <c r="G146" s="2"/>
      <c r="H146" s="2"/>
    </row>
  </sheetData>
  <mergeCells count="37">
    <mergeCell ref="C61:G62"/>
    <mergeCell ref="C52:E52"/>
    <mergeCell ref="C53:F53"/>
    <mergeCell ref="J53:O53"/>
    <mergeCell ref="T53:V53"/>
    <mergeCell ref="C54:F54"/>
    <mergeCell ref="J54:O54"/>
    <mergeCell ref="R42:V42"/>
    <mergeCell ref="AB42:AF42"/>
    <mergeCell ref="B43:F43"/>
    <mergeCell ref="B46:B47"/>
    <mergeCell ref="C46:D46"/>
    <mergeCell ref="E46:G46"/>
    <mergeCell ref="C47:D47"/>
    <mergeCell ref="E47:G47"/>
    <mergeCell ref="B42:C42"/>
    <mergeCell ref="B38:C38"/>
    <mergeCell ref="AB29:AC29"/>
    <mergeCell ref="B40:C40"/>
    <mergeCell ref="D38:E38"/>
    <mergeCell ref="B8:C8"/>
    <mergeCell ref="D8:F8"/>
    <mergeCell ref="W8:W9"/>
    <mergeCell ref="AB8:AC8"/>
    <mergeCell ref="AD8:AF8"/>
    <mergeCell ref="R37:V37"/>
    <mergeCell ref="B23:F23"/>
    <mergeCell ref="R4:W4"/>
    <mergeCell ref="B5:E5"/>
    <mergeCell ref="G5:I5"/>
    <mergeCell ref="K5:O5"/>
    <mergeCell ref="Q5:W5"/>
    <mergeCell ref="B6:E6"/>
    <mergeCell ref="G6:I6"/>
    <mergeCell ref="K6:O6"/>
    <mergeCell ref="Q6:T6"/>
    <mergeCell ref="U6:W6"/>
  </mergeCells>
  <pageMargins left="0.45" right="0.45" top="0.5" bottom="0.5" header="0.3" footer="0.3"/>
  <pageSetup scale="66" orientation="landscape" horizontalDpi="300" verticalDpi="300" r:id="rId1"/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Aug 26-Sept 10</vt:lpstr>
      <vt:lpstr>'Aug 26-Sept 10'!Print_Area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Marte</dc:creator>
  <cp:lastModifiedBy>Administrator</cp:lastModifiedBy>
  <cp:lastPrinted>2023-11-13T02:05:25Z</cp:lastPrinted>
  <dcterms:created xsi:type="dcterms:W3CDTF">2008-11-10T02:05:13Z</dcterms:created>
  <dcterms:modified xsi:type="dcterms:W3CDTF">2025-05-20T06:35:58Z</dcterms:modified>
</cp:coreProperties>
</file>